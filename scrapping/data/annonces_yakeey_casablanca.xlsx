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onces" sheetId="1" state="visible" r:id="rId1"/>
    <sheet xmlns:r="http://schemas.openxmlformats.org/officeDocument/2006/relationships" name="Synthese" sheetId="2" state="visible" r:id="rId2"/>
    <sheet xmlns:r="http://schemas.openxmlformats.org/officeDocument/2006/relationships" name="Par Quartier" sheetId="3" state="visible" r:id="rId3"/>
  </sheets>
  <definedNames>
    <definedName name="_xlnm._FilterDatabase" localSheetId="0" hidden="1">'Annonces'!$A$1:$W$1299</definedName>
    <definedName name="_xlnm._FilterDatabase" localSheetId="2" hidden="1">'Par Quartier'!$A$1:$E$113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 &quot;DH&quot;"/>
    <numFmt numFmtId="165" formatCode="#,##0 &quot;m²&quot;"/>
    <numFmt numFmtId="166" formatCode="#,##0 &quot;DH/m²&quot;"/>
    <numFmt numFmtId="167" formatCode="#,##0 &quot;m2&quot;"/>
    <numFmt numFmtId="168" formatCode="#,##0 &quot;DH/m2&quot;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0563C1"/>
      <sz val="10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164" fontId="0" fillId="3" borderId="0" pivotButton="0" quotePrefix="0" xfId="0"/>
    <xf numFmtId="165" fontId="0" fillId="3" borderId="0" pivotButton="0" quotePrefix="0" xfId="0"/>
    <xf numFmtId="166" fontId="0" fillId="3" borderId="0" pivotButton="0" quotePrefix="0" xfId="0"/>
    <xf numFmtId="0" fontId="2" fillId="3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yakeey.com/fr-ma/achat/biens/100097" TargetMode="External" Id="rId1"/><Relationship Type="http://schemas.openxmlformats.org/officeDocument/2006/relationships/hyperlink" Target="https://yakeey.com/fr-ma/achat/biens/100816" TargetMode="External" Id="rId2"/><Relationship Type="http://schemas.openxmlformats.org/officeDocument/2006/relationships/hyperlink" Target="https://yakeey.com/fr-ma/achat/biens/101198" TargetMode="External" Id="rId3"/><Relationship Type="http://schemas.openxmlformats.org/officeDocument/2006/relationships/hyperlink" Target="https://yakeey.com/fr-ma/achat/biens/102647" TargetMode="External" Id="rId4"/><Relationship Type="http://schemas.openxmlformats.org/officeDocument/2006/relationships/hyperlink" Target="https://yakeey.com/fr-ma/achat/biens/107628" TargetMode="External" Id="rId5"/><Relationship Type="http://schemas.openxmlformats.org/officeDocument/2006/relationships/hyperlink" Target="https://yakeey.com/fr-ma/achat/biens/107673" TargetMode="External" Id="rId6"/><Relationship Type="http://schemas.openxmlformats.org/officeDocument/2006/relationships/hyperlink" Target="https://yakeey.com/fr-ma/achat/biens/107881" TargetMode="External" Id="rId7"/><Relationship Type="http://schemas.openxmlformats.org/officeDocument/2006/relationships/hyperlink" Target="https://yakeey.com/fr-ma/achat/biens/107889" TargetMode="External" Id="rId8"/><Relationship Type="http://schemas.openxmlformats.org/officeDocument/2006/relationships/hyperlink" Target="https://yakeey.com/fr-ma/achat/biens/108591" TargetMode="External" Id="rId9"/><Relationship Type="http://schemas.openxmlformats.org/officeDocument/2006/relationships/hyperlink" Target="https://yakeey.com/fr-ma/achat/biens/108858" TargetMode="External" Id="rId10"/><Relationship Type="http://schemas.openxmlformats.org/officeDocument/2006/relationships/hyperlink" Target="https://yakeey.com/fr-ma/achat/biens/109720" TargetMode="External" Id="rId11"/><Relationship Type="http://schemas.openxmlformats.org/officeDocument/2006/relationships/hyperlink" Target="https://yakeey.com/fr-ma/achat/biens/109935" TargetMode="External" Id="rId12"/><Relationship Type="http://schemas.openxmlformats.org/officeDocument/2006/relationships/hyperlink" Target="https://yakeey.com/fr-ma/achat/biens/110558" TargetMode="External" Id="rId13"/><Relationship Type="http://schemas.openxmlformats.org/officeDocument/2006/relationships/hyperlink" Target="https://yakeey.com/fr-ma/achat/biens/111088" TargetMode="External" Id="rId14"/><Relationship Type="http://schemas.openxmlformats.org/officeDocument/2006/relationships/hyperlink" Target="https://yakeey.com/fr-ma/achat/biens/111486" TargetMode="External" Id="rId15"/><Relationship Type="http://schemas.openxmlformats.org/officeDocument/2006/relationships/hyperlink" Target="https://yakeey.com/fr-ma/achat/biens/111635" TargetMode="External" Id="rId16"/><Relationship Type="http://schemas.openxmlformats.org/officeDocument/2006/relationships/hyperlink" Target="https://yakeey.com/fr-ma/achat/biens/111705" TargetMode="External" Id="rId17"/><Relationship Type="http://schemas.openxmlformats.org/officeDocument/2006/relationships/hyperlink" Target="https://yakeey.com/fr-ma/achat/biens/111729" TargetMode="External" Id="rId18"/><Relationship Type="http://schemas.openxmlformats.org/officeDocument/2006/relationships/hyperlink" Target="https://yakeey.com/fr-ma/achat/biens/112045" TargetMode="External" Id="rId19"/><Relationship Type="http://schemas.openxmlformats.org/officeDocument/2006/relationships/hyperlink" Target="https://yakeey.com/fr-ma/achat/biens/112352" TargetMode="External" Id="rId20"/><Relationship Type="http://schemas.openxmlformats.org/officeDocument/2006/relationships/hyperlink" Target="https://yakeey.com/fr-ma/achat/biens/113513" TargetMode="External" Id="rId21"/><Relationship Type="http://schemas.openxmlformats.org/officeDocument/2006/relationships/hyperlink" Target="https://yakeey.com/fr-ma/achat/biens/114031" TargetMode="External" Id="rId22"/><Relationship Type="http://schemas.openxmlformats.org/officeDocument/2006/relationships/hyperlink" Target="https://yakeey.com/fr-ma/achat/biens/114189" TargetMode="External" Id="rId23"/><Relationship Type="http://schemas.openxmlformats.org/officeDocument/2006/relationships/hyperlink" Target="https://yakeey.com/fr-ma/achat/biens/114890" TargetMode="External" Id="rId24"/><Relationship Type="http://schemas.openxmlformats.org/officeDocument/2006/relationships/hyperlink" Target="https://yakeey.com/fr-ma/achat/biens/114939" TargetMode="External" Id="rId25"/><Relationship Type="http://schemas.openxmlformats.org/officeDocument/2006/relationships/hyperlink" Target="https://yakeey.com/fr-ma/achat/biens/115083" TargetMode="External" Id="rId26"/><Relationship Type="http://schemas.openxmlformats.org/officeDocument/2006/relationships/hyperlink" Target="https://yakeey.com/fr-ma/achat/biens/115959" TargetMode="External" Id="rId27"/><Relationship Type="http://schemas.openxmlformats.org/officeDocument/2006/relationships/hyperlink" Target="https://yakeey.com/fr-ma/achat/biens/1164" TargetMode="External" Id="rId28"/><Relationship Type="http://schemas.openxmlformats.org/officeDocument/2006/relationships/hyperlink" Target="https://yakeey.com/fr-ma/achat/biens/11675" TargetMode="External" Id="rId29"/><Relationship Type="http://schemas.openxmlformats.org/officeDocument/2006/relationships/hyperlink" Target="https://yakeey.com/fr-ma/achat/biens/116894" TargetMode="External" Id="rId30"/><Relationship Type="http://schemas.openxmlformats.org/officeDocument/2006/relationships/hyperlink" Target="https://yakeey.com/fr-ma/achat/biens/117064" TargetMode="External" Id="rId31"/><Relationship Type="http://schemas.openxmlformats.org/officeDocument/2006/relationships/hyperlink" Target="https://yakeey.com/fr-ma/achat/biens/117068" TargetMode="External" Id="rId32"/><Relationship Type="http://schemas.openxmlformats.org/officeDocument/2006/relationships/hyperlink" Target="https://yakeey.com/fr-ma/achat/biens/117279" TargetMode="External" Id="rId33"/><Relationship Type="http://schemas.openxmlformats.org/officeDocument/2006/relationships/hyperlink" Target="https://yakeey.com/fr-ma/achat/biens/117429" TargetMode="External" Id="rId34"/><Relationship Type="http://schemas.openxmlformats.org/officeDocument/2006/relationships/hyperlink" Target="https://yakeey.com/fr-ma/achat/biens/117555" TargetMode="External" Id="rId35"/><Relationship Type="http://schemas.openxmlformats.org/officeDocument/2006/relationships/hyperlink" Target="https://yakeey.com/fr-ma/achat/biens/117593" TargetMode="External" Id="rId36"/><Relationship Type="http://schemas.openxmlformats.org/officeDocument/2006/relationships/hyperlink" Target="https://yakeey.com/fr-ma/achat/biens/117656" TargetMode="External" Id="rId37"/><Relationship Type="http://schemas.openxmlformats.org/officeDocument/2006/relationships/hyperlink" Target="https://yakeey.com/fr-ma/achat/biens/117798" TargetMode="External" Id="rId38"/><Relationship Type="http://schemas.openxmlformats.org/officeDocument/2006/relationships/hyperlink" Target="https://yakeey.com/fr-ma/achat/biens/117853" TargetMode="External" Id="rId39"/><Relationship Type="http://schemas.openxmlformats.org/officeDocument/2006/relationships/hyperlink" Target="https://yakeey.com/fr-ma/achat/biens/117893" TargetMode="External" Id="rId40"/><Relationship Type="http://schemas.openxmlformats.org/officeDocument/2006/relationships/hyperlink" Target="https://yakeey.com/fr-ma/achat/biens/117939" TargetMode="External" Id="rId41"/><Relationship Type="http://schemas.openxmlformats.org/officeDocument/2006/relationships/hyperlink" Target="https://yakeey.com/fr-ma/achat/biens/118018" TargetMode="External" Id="rId42"/><Relationship Type="http://schemas.openxmlformats.org/officeDocument/2006/relationships/hyperlink" Target="https://yakeey.com/fr-ma/achat/biens/118227" TargetMode="External" Id="rId43"/><Relationship Type="http://schemas.openxmlformats.org/officeDocument/2006/relationships/hyperlink" Target="https://yakeey.com/fr-ma/achat/biens/118375" TargetMode="External" Id="rId44"/><Relationship Type="http://schemas.openxmlformats.org/officeDocument/2006/relationships/hyperlink" Target="https://yakeey.com/fr-ma/achat/biens/118381" TargetMode="External" Id="rId45"/><Relationship Type="http://schemas.openxmlformats.org/officeDocument/2006/relationships/hyperlink" Target="https://yakeey.com/fr-ma/achat/biens/119146" TargetMode="External" Id="rId46"/><Relationship Type="http://schemas.openxmlformats.org/officeDocument/2006/relationships/hyperlink" Target="https://yakeey.com/fr-ma/achat/biens/119373" TargetMode="External" Id="rId47"/><Relationship Type="http://schemas.openxmlformats.org/officeDocument/2006/relationships/hyperlink" Target="https://yakeey.com/fr-ma/achat/biens/119395" TargetMode="External" Id="rId48"/><Relationship Type="http://schemas.openxmlformats.org/officeDocument/2006/relationships/hyperlink" Target="https://yakeey.com/fr-ma/achat/biens/119923" TargetMode="External" Id="rId49"/><Relationship Type="http://schemas.openxmlformats.org/officeDocument/2006/relationships/hyperlink" Target="https://yakeey.com/fr-ma/achat/biens/120050" TargetMode="External" Id="rId50"/><Relationship Type="http://schemas.openxmlformats.org/officeDocument/2006/relationships/hyperlink" Target="https://yakeey.com/fr-ma/achat/biens/120150" TargetMode="External" Id="rId51"/><Relationship Type="http://schemas.openxmlformats.org/officeDocument/2006/relationships/hyperlink" Target="https://yakeey.com/fr-ma/achat/biens/120290" TargetMode="External" Id="rId52"/><Relationship Type="http://schemas.openxmlformats.org/officeDocument/2006/relationships/hyperlink" Target="https://yakeey.com/fr-ma/achat/biens/120841" TargetMode="External" Id="rId53"/><Relationship Type="http://schemas.openxmlformats.org/officeDocument/2006/relationships/hyperlink" Target="https://yakeey.com/fr-ma/achat/biens/121254" TargetMode="External" Id="rId54"/><Relationship Type="http://schemas.openxmlformats.org/officeDocument/2006/relationships/hyperlink" Target="https://yakeey.com/fr-ma/achat/biens/121306" TargetMode="External" Id="rId55"/><Relationship Type="http://schemas.openxmlformats.org/officeDocument/2006/relationships/hyperlink" Target="https://yakeey.com/fr-ma/achat/biens/121487" TargetMode="External" Id="rId56"/><Relationship Type="http://schemas.openxmlformats.org/officeDocument/2006/relationships/hyperlink" Target="https://yakeey.com/fr-ma/achat/biens/122072" TargetMode="External" Id="rId57"/><Relationship Type="http://schemas.openxmlformats.org/officeDocument/2006/relationships/hyperlink" Target="https://yakeey.com/fr-ma/achat/biens/12269" TargetMode="External" Id="rId58"/><Relationship Type="http://schemas.openxmlformats.org/officeDocument/2006/relationships/hyperlink" Target="https://yakeey.com/fr-ma/achat/biens/122952" TargetMode="External" Id="rId59"/><Relationship Type="http://schemas.openxmlformats.org/officeDocument/2006/relationships/hyperlink" Target="https://yakeey.com/fr-ma/achat/biens/123162" TargetMode="External" Id="rId60"/><Relationship Type="http://schemas.openxmlformats.org/officeDocument/2006/relationships/hyperlink" Target="https://yakeey.com/fr-ma/achat/biens/123226" TargetMode="External" Id="rId61"/><Relationship Type="http://schemas.openxmlformats.org/officeDocument/2006/relationships/hyperlink" Target="https://yakeey.com/fr-ma/achat/biens/123279" TargetMode="External" Id="rId62"/><Relationship Type="http://schemas.openxmlformats.org/officeDocument/2006/relationships/hyperlink" Target="https://yakeey.com/fr-ma/achat/biens/123553" TargetMode="External" Id="rId63"/><Relationship Type="http://schemas.openxmlformats.org/officeDocument/2006/relationships/hyperlink" Target="https://yakeey.com/fr-ma/achat/biens/123924" TargetMode="External" Id="rId64"/><Relationship Type="http://schemas.openxmlformats.org/officeDocument/2006/relationships/hyperlink" Target="https://yakeey.com/fr-ma/achat/biens/12394" TargetMode="External" Id="rId65"/><Relationship Type="http://schemas.openxmlformats.org/officeDocument/2006/relationships/hyperlink" Target="https://yakeey.com/fr-ma/achat/biens/12402" TargetMode="External" Id="rId66"/><Relationship Type="http://schemas.openxmlformats.org/officeDocument/2006/relationships/hyperlink" Target="https://yakeey.com/fr-ma/achat/biens/124404" TargetMode="External" Id="rId67"/><Relationship Type="http://schemas.openxmlformats.org/officeDocument/2006/relationships/hyperlink" Target="https://yakeey.com/fr-ma/achat/biens/124774" TargetMode="External" Id="rId68"/><Relationship Type="http://schemas.openxmlformats.org/officeDocument/2006/relationships/hyperlink" Target="https://yakeey.com/fr-ma/achat/biens/125292" TargetMode="External" Id="rId69"/><Relationship Type="http://schemas.openxmlformats.org/officeDocument/2006/relationships/hyperlink" Target="https://yakeey.com/fr-ma/achat/biens/125392" TargetMode="External" Id="rId70"/><Relationship Type="http://schemas.openxmlformats.org/officeDocument/2006/relationships/hyperlink" Target="https://yakeey.com/fr-ma/achat/biens/125396" TargetMode="External" Id="rId71"/><Relationship Type="http://schemas.openxmlformats.org/officeDocument/2006/relationships/hyperlink" Target="https://yakeey.com/fr-ma/achat/biens/125903" TargetMode="External" Id="rId72"/><Relationship Type="http://schemas.openxmlformats.org/officeDocument/2006/relationships/hyperlink" Target="https://yakeey.com/fr-ma/achat/biens/12598" TargetMode="External" Id="rId73"/><Relationship Type="http://schemas.openxmlformats.org/officeDocument/2006/relationships/hyperlink" Target="https://yakeey.com/fr-ma/achat/biens/125982" TargetMode="External" Id="rId74"/><Relationship Type="http://schemas.openxmlformats.org/officeDocument/2006/relationships/hyperlink" Target="https://yakeey.com/fr-ma/achat/biens/126226" TargetMode="External" Id="rId75"/><Relationship Type="http://schemas.openxmlformats.org/officeDocument/2006/relationships/hyperlink" Target="https://yakeey.com/fr-ma/achat/biens/126375" TargetMode="External" Id="rId76"/><Relationship Type="http://schemas.openxmlformats.org/officeDocument/2006/relationships/hyperlink" Target="https://yakeey.com/fr-ma/achat/biens/126411" TargetMode="External" Id="rId77"/><Relationship Type="http://schemas.openxmlformats.org/officeDocument/2006/relationships/hyperlink" Target="https://yakeey.com/fr-ma/achat/biens/126446" TargetMode="External" Id="rId78"/><Relationship Type="http://schemas.openxmlformats.org/officeDocument/2006/relationships/hyperlink" Target="https://yakeey.com/fr-ma/achat/biens/126613" TargetMode="External" Id="rId79"/><Relationship Type="http://schemas.openxmlformats.org/officeDocument/2006/relationships/hyperlink" Target="https://yakeey.com/fr-ma/achat/biens/126655" TargetMode="External" Id="rId80"/><Relationship Type="http://schemas.openxmlformats.org/officeDocument/2006/relationships/hyperlink" Target="https://yakeey.com/fr-ma/achat/biens/126825" TargetMode="External" Id="rId81"/><Relationship Type="http://schemas.openxmlformats.org/officeDocument/2006/relationships/hyperlink" Target="https://yakeey.com/fr-ma/achat/biens/126908" TargetMode="External" Id="rId82"/><Relationship Type="http://schemas.openxmlformats.org/officeDocument/2006/relationships/hyperlink" Target="https://yakeey.com/fr-ma/achat/biens/126929" TargetMode="External" Id="rId83"/><Relationship Type="http://schemas.openxmlformats.org/officeDocument/2006/relationships/hyperlink" Target="https://yakeey.com/fr-ma/achat/biens/127061" TargetMode="External" Id="rId84"/><Relationship Type="http://schemas.openxmlformats.org/officeDocument/2006/relationships/hyperlink" Target="https://yakeey.com/fr-ma/achat/biens/127226" TargetMode="External" Id="rId85"/><Relationship Type="http://schemas.openxmlformats.org/officeDocument/2006/relationships/hyperlink" Target="https://yakeey.com/fr-ma/achat/biens/127258" TargetMode="External" Id="rId86"/><Relationship Type="http://schemas.openxmlformats.org/officeDocument/2006/relationships/hyperlink" Target="https://yakeey.com/fr-ma/achat/biens/127338" TargetMode="External" Id="rId87"/><Relationship Type="http://schemas.openxmlformats.org/officeDocument/2006/relationships/hyperlink" Target="https://yakeey.com/fr-ma/achat/biens/127516" TargetMode="External" Id="rId88"/><Relationship Type="http://schemas.openxmlformats.org/officeDocument/2006/relationships/hyperlink" Target="https://yakeey.com/fr-ma/achat/biens/127721" TargetMode="External" Id="rId89"/><Relationship Type="http://schemas.openxmlformats.org/officeDocument/2006/relationships/hyperlink" Target="https://yakeey.com/fr-ma/achat/biens/127935" TargetMode="External" Id="rId90"/><Relationship Type="http://schemas.openxmlformats.org/officeDocument/2006/relationships/hyperlink" Target="https://yakeey.com/fr-ma/achat/biens/12823" TargetMode="External" Id="rId91"/><Relationship Type="http://schemas.openxmlformats.org/officeDocument/2006/relationships/hyperlink" Target="https://yakeey.com/fr-ma/achat/biens/13491" TargetMode="External" Id="rId92"/><Relationship Type="http://schemas.openxmlformats.org/officeDocument/2006/relationships/hyperlink" Target="https://yakeey.com/fr-ma/achat/biens/135160" TargetMode="External" Id="rId93"/><Relationship Type="http://schemas.openxmlformats.org/officeDocument/2006/relationships/hyperlink" Target="https://yakeey.com/fr-ma/achat/biens/135353" TargetMode="External" Id="rId94"/><Relationship Type="http://schemas.openxmlformats.org/officeDocument/2006/relationships/hyperlink" Target="https://yakeey.com/fr-ma/achat/biens/135826" TargetMode="External" Id="rId95"/><Relationship Type="http://schemas.openxmlformats.org/officeDocument/2006/relationships/hyperlink" Target="https://yakeey.com/fr-ma/achat/biens/136001" TargetMode="External" Id="rId96"/><Relationship Type="http://schemas.openxmlformats.org/officeDocument/2006/relationships/hyperlink" Target="https://yakeey.com/fr-ma/achat/biens/13621" TargetMode="External" Id="rId97"/><Relationship Type="http://schemas.openxmlformats.org/officeDocument/2006/relationships/hyperlink" Target="https://yakeey.com/fr-ma/achat/biens/136296" TargetMode="External" Id="rId98"/><Relationship Type="http://schemas.openxmlformats.org/officeDocument/2006/relationships/hyperlink" Target="https://yakeey.com/fr-ma/achat/biens/136370" TargetMode="External" Id="rId99"/><Relationship Type="http://schemas.openxmlformats.org/officeDocument/2006/relationships/hyperlink" Target="https://yakeey.com/fr-ma/achat/biens/136526" TargetMode="External" Id="rId100"/><Relationship Type="http://schemas.openxmlformats.org/officeDocument/2006/relationships/hyperlink" Target="https://yakeey.com/fr-ma/achat/biens/136796" TargetMode="External" Id="rId101"/><Relationship Type="http://schemas.openxmlformats.org/officeDocument/2006/relationships/hyperlink" Target="https://yakeey.com/fr-ma/achat/biens/13706" TargetMode="External" Id="rId102"/><Relationship Type="http://schemas.openxmlformats.org/officeDocument/2006/relationships/hyperlink" Target="https://yakeey.com/fr-ma/achat/biens/137254" TargetMode="External" Id="rId103"/><Relationship Type="http://schemas.openxmlformats.org/officeDocument/2006/relationships/hyperlink" Target="https://yakeey.com/fr-ma/achat/biens/137533" TargetMode="External" Id="rId104"/><Relationship Type="http://schemas.openxmlformats.org/officeDocument/2006/relationships/hyperlink" Target="https://yakeey.com/fr-ma/achat/biens/137549" TargetMode="External" Id="rId105"/><Relationship Type="http://schemas.openxmlformats.org/officeDocument/2006/relationships/hyperlink" Target="https://yakeey.com/fr-ma/achat/biens/137585" TargetMode="External" Id="rId106"/><Relationship Type="http://schemas.openxmlformats.org/officeDocument/2006/relationships/hyperlink" Target="https://yakeey.com/fr-ma/achat/biens/137637" TargetMode="External" Id="rId107"/><Relationship Type="http://schemas.openxmlformats.org/officeDocument/2006/relationships/hyperlink" Target="https://yakeey.com/fr-ma/achat/biens/137849" TargetMode="External" Id="rId108"/><Relationship Type="http://schemas.openxmlformats.org/officeDocument/2006/relationships/hyperlink" Target="https://yakeey.com/fr-ma/achat/biens/138148" TargetMode="External" Id="rId109"/><Relationship Type="http://schemas.openxmlformats.org/officeDocument/2006/relationships/hyperlink" Target="https://yakeey.com/fr-ma/achat/biens/138251" TargetMode="External" Id="rId110"/><Relationship Type="http://schemas.openxmlformats.org/officeDocument/2006/relationships/hyperlink" Target="https://yakeey.com/fr-ma/achat/biens/138266" TargetMode="External" Id="rId111"/><Relationship Type="http://schemas.openxmlformats.org/officeDocument/2006/relationships/hyperlink" Target="https://yakeey.com/fr-ma/achat/biens/138432" TargetMode="External" Id="rId112"/><Relationship Type="http://schemas.openxmlformats.org/officeDocument/2006/relationships/hyperlink" Target="https://yakeey.com/fr-ma/achat/biens/138702" TargetMode="External" Id="rId113"/><Relationship Type="http://schemas.openxmlformats.org/officeDocument/2006/relationships/hyperlink" Target="https://yakeey.com/fr-ma/achat/biens/138822" TargetMode="External" Id="rId114"/><Relationship Type="http://schemas.openxmlformats.org/officeDocument/2006/relationships/hyperlink" Target="https://yakeey.com/fr-ma/achat/biens/138965" TargetMode="External" Id="rId115"/><Relationship Type="http://schemas.openxmlformats.org/officeDocument/2006/relationships/hyperlink" Target="https://yakeey.com/fr-ma/achat/biens/138982" TargetMode="External" Id="rId116"/><Relationship Type="http://schemas.openxmlformats.org/officeDocument/2006/relationships/hyperlink" Target="https://yakeey.com/fr-ma/achat/biens/139010" TargetMode="External" Id="rId117"/><Relationship Type="http://schemas.openxmlformats.org/officeDocument/2006/relationships/hyperlink" Target="https://yakeey.com/fr-ma/achat/biens/139105" TargetMode="External" Id="rId118"/><Relationship Type="http://schemas.openxmlformats.org/officeDocument/2006/relationships/hyperlink" Target="https://yakeey.com/fr-ma/achat/biens/139478" TargetMode="External" Id="rId119"/><Relationship Type="http://schemas.openxmlformats.org/officeDocument/2006/relationships/hyperlink" Target="https://yakeey.com/fr-ma/achat/biens/139779" TargetMode="External" Id="rId120"/><Relationship Type="http://schemas.openxmlformats.org/officeDocument/2006/relationships/hyperlink" Target="https://yakeey.com/fr-ma/achat/biens/139813" TargetMode="External" Id="rId121"/><Relationship Type="http://schemas.openxmlformats.org/officeDocument/2006/relationships/hyperlink" Target="https://yakeey.com/fr-ma/achat/biens/140202" TargetMode="External" Id="rId122"/><Relationship Type="http://schemas.openxmlformats.org/officeDocument/2006/relationships/hyperlink" Target="https://yakeey.com/fr-ma/achat/biens/140785" TargetMode="External" Id="rId123"/><Relationship Type="http://schemas.openxmlformats.org/officeDocument/2006/relationships/hyperlink" Target="https://yakeey.com/fr-ma/achat/biens/140866" TargetMode="External" Id="rId124"/><Relationship Type="http://schemas.openxmlformats.org/officeDocument/2006/relationships/hyperlink" Target="https://yakeey.com/fr-ma/achat/biens/141458" TargetMode="External" Id="rId125"/><Relationship Type="http://schemas.openxmlformats.org/officeDocument/2006/relationships/hyperlink" Target="https://yakeey.com/fr-ma/achat/biens/141669" TargetMode="External" Id="rId126"/><Relationship Type="http://schemas.openxmlformats.org/officeDocument/2006/relationships/hyperlink" Target="https://yakeey.com/fr-ma/achat/biens/141754" TargetMode="External" Id="rId127"/><Relationship Type="http://schemas.openxmlformats.org/officeDocument/2006/relationships/hyperlink" Target="https://yakeey.com/fr-ma/achat/biens/14186" TargetMode="External" Id="rId128"/><Relationship Type="http://schemas.openxmlformats.org/officeDocument/2006/relationships/hyperlink" Target="https://yakeey.com/fr-ma/achat/biens/142459" TargetMode="External" Id="rId129"/><Relationship Type="http://schemas.openxmlformats.org/officeDocument/2006/relationships/hyperlink" Target="https://yakeey.com/fr-ma/achat/biens/142572" TargetMode="External" Id="rId130"/><Relationship Type="http://schemas.openxmlformats.org/officeDocument/2006/relationships/hyperlink" Target="https://yakeey.com/fr-ma/achat/biens/142591" TargetMode="External" Id="rId131"/><Relationship Type="http://schemas.openxmlformats.org/officeDocument/2006/relationships/hyperlink" Target="https://yakeey.com/fr-ma/achat/biens/142605" TargetMode="External" Id="rId132"/><Relationship Type="http://schemas.openxmlformats.org/officeDocument/2006/relationships/hyperlink" Target="https://yakeey.com/fr-ma/achat/biens/142861" TargetMode="External" Id="rId133"/><Relationship Type="http://schemas.openxmlformats.org/officeDocument/2006/relationships/hyperlink" Target="https://yakeey.com/fr-ma/achat/biens/142873" TargetMode="External" Id="rId134"/><Relationship Type="http://schemas.openxmlformats.org/officeDocument/2006/relationships/hyperlink" Target="https://yakeey.com/fr-ma/achat/biens/143017" TargetMode="External" Id="rId135"/><Relationship Type="http://schemas.openxmlformats.org/officeDocument/2006/relationships/hyperlink" Target="https://yakeey.com/fr-ma/achat/biens/144689" TargetMode="External" Id="rId136"/><Relationship Type="http://schemas.openxmlformats.org/officeDocument/2006/relationships/hyperlink" Target="https://yakeey.com/fr-ma/achat/biens/144891" TargetMode="External" Id="rId137"/><Relationship Type="http://schemas.openxmlformats.org/officeDocument/2006/relationships/hyperlink" Target="https://yakeey.com/fr-ma/achat/biens/145293" TargetMode="External" Id="rId138"/><Relationship Type="http://schemas.openxmlformats.org/officeDocument/2006/relationships/hyperlink" Target="https://yakeey.com/fr-ma/achat/biens/145599" TargetMode="External" Id="rId139"/><Relationship Type="http://schemas.openxmlformats.org/officeDocument/2006/relationships/hyperlink" Target="https://yakeey.com/fr-ma/achat/biens/145600" TargetMode="External" Id="rId140"/><Relationship Type="http://schemas.openxmlformats.org/officeDocument/2006/relationships/hyperlink" Target="https://yakeey.com/fr-ma/achat/biens/145701" TargetMode="External" Id="rId141"/><Relationship Type="http://schemas.openxmlformats.org/officeDocument/2006/relationships/hyperlink" Target="https://yakeey.com/fr-ma/achat/biens/146062" TargetMode="External" Id="rId142"/><Relationship Type="http://schemas.openxmlformats.org/officeDocument/2006/relationships/hyperlink" Target="https://yakeey.com/fr-ma/achat/biens/146132" TargetMode="External" Id="rId143"/><Relationship Type="http://schemas.openxmlformats.org/officeDocument/2006/relationships/hyperlink" Target="https://yakeey.com/fr-ma/achat/biens/147347" TargetMode="External" Id="rId144"/><Relationship Type="http://schemas.openxmlformats.org/officeDocument/2006/relationships/hyperlink" Target="https://yakeey.com/fr-ma/achat/biens/147389" TargetMode="External" Id="rId145"/><Relationship Type="http://schemas.openxmlformats.org/officeDocument/2006/relationships/hyperlink" Target="https://yakeey.com/fr-ma/achat/biens/147418" TargetMode="External" Id="rId146"/><Relationship Type="http://schemas.openxmlformats.org/officeDocument/2006/relationships/hyperlink" Target="https://yakeey.com/fr-ma/achat/biens/147635" TargetMode="External" Id="rId147"/><Relationship Type="http://schemas.openxmlformats.org/officeDocument/2006/relationships/hyperlink" Target="https://yakeey.com/fr-ma/achat/biens/147777" TargetMode="External" Id="rId148"/><Relationship Type="http://schemas.openxmlformats.org/officeDocument/2006/relationships/hyperlink" Target="https://yakeey.com/fr-ma/achat/biens/148153" TargetMode="External" Id="rId149"/><Relationship Type="http://schemas.openxmlformats.org/officeDocument/2006/relationships/hyperlink" Target="https://yakeey.com/fr-ma/achat/biens/148677" TargetMode="External" Id="rId150"/><Relationship Type="http://schemas.openxmlformats.org/officeDocument/2006/relationships/hyperlink" Target="https://yakeey.com/fr-ma/achat/biens/149074" TargetMode="External" Id="rId151"/><Relationship Type="http://schemas.openxmlformats.org/officeDocument/2006/relationships/hyperlink" Target="https://yakeey.com/fr-ma/achat/biens/149265" TargetMode="External" Id="rId152"/><Relationship Type="http://schemas.openxmlformats.org/officeDocument/2006/relationships/hyperlink" Target="https://yakeey.com/fr-ma/achat/biens/149475" TargetMode="External" Id="rId153"/><Relationship Type="http://schemas.openxmlformats.org/officeDocument/2006/relationships/hyperlink" Target="https://yakeey.com/fr-ma/achat/biens/149844" TargetMode="External" Id="rId154"/><Relationship Type="http://schemas.openxmlformats.org/officeDocument/2006/relationships/hyperlink" Target="https://yakeey.com/fr-ma/achat/biens/149997" TargetMode="External" Id="rId155"/><Relationship Type="http://schemas.openxmlformats.org/officeDocument/2006/relationships/hyperlink" Target="https://yakeey.com/fr-ma/achat/biens/150291" TargetMode="External" Id="rId156"/><Relationship Type="http://schemas.openxmlformats.org/officeDocument/2006/relationships/hyperlink" Target="https://yakeey.com/fr-ma/achat/biens/150341" TargetMode="External" Id="rId157"/><Relationship Type="http://schemas.openxmlformats.org/officeDocument/2006/relationships/hyperlink" Target="https://yakeey.com/fr-ma/achat/biens/150579" TargetMode="External" Id="rId158"/><Relationship Type="http://schemas.openxmlformats.org/officeDocument/2006/relationships/hyperlink" Target="https://yakeey.com/fr-ma/achat/biens/150869" TargetMode="External" Id="rId159"/><Relationship Type="http://schemas.openxmlformats.org/officeDocument/2006/relationships/hyperlink" Target="https://yakeey.com/fr-ma/achat/biens/151301" TargetMode="External" Id="rId160"/><Relationship Type="http://schemas.openxmlformats.org/officeDocument/2006/relationships/hyperlink" Target="https://yakeey.com/fr-ma/achat/biens/151793" TargetMode="External" Id="rId161"/><Relationship Type="http://schemas.openxmlformats.org/officeDocument/2006/relationships/hyperlink" Target="https://yakeey.com/fr-ma/achat/biens/152023" TargetMode="External" Id="rId162"/><Relationship Type="http://schemas.openxmlformats.org/officeDocument/2006/relationships/hyperlink" Target="https://yakeey.com/fr-ma/achat/biens/152391" TargetMode="External" Id="rId163"/><Relationship Type="http://schemas.openxmlformats.org/officeDocument/2006/relationships/hyperlink" Target="https://yakeey.com/fr-ma/achat/biens/152565" TargetMode="External" Id="rId164"/><Relationship Type="http://schemas.openxmlformats.org/officeDocument/2006/relationships/hyperlink" Target="https://yakeey.com/fr-ma/achat/biens/152686" TargetMode="External" Id="rId165"/><Relationship Type="http://schemas.openxmlformats.org/officeDocument/2006/relationships/hyperlink" Target="https://yakeey.com/fr-ma/achat/biens/152876" TargetMode="External" Id="rId166"/><Relationship Type="http://schemas.openxmlformats.org/officeDocument/2006/relationships/hyperlink" Target="https://yakeey.com/fr-ma/achat/biens/15326" TargetMode="External" Id="rId167"/><Relationship Type="http://schemas.openxmlformats.org/officeDocument/2006/relationships/hyperlink" Target="https://yakeey.com/fr-ma/achat/biens/153300" TargetMode="External" Id="rId168"/><Relationship Type="http://schemas.openxmlformats.org/officeDocument/2006/relationships/hyperlink" Target="https://yakeey.com/fr-ma/achat/biens/153880" TargetMode="External" Id="rId169"/><Relationship Type="http://schemas.openxmlformats.org/officeDocument/2006/relationships/hyperlink" Target="https://yakeey.com/fr-ma/achat/biens/153903" TargetMode="External" Id="rId170"/><Relationship Type="http://schemas.openxmlformats.org/officeDocument/2006/relationships/hyperlink" Target="https://yakeey.com/fr-ma/achat/biens/153912" TargetMode="External" Id="rId171"/><Relationship Type="http://schemas.openxmlformats.org/officeDocument/2006/relationships/hyperlink" Target="https://yakeey.com/fr-ma/achat/biens/154132" TargetMode="External" Id="rId172"/><Relationship Type="http://schemas.openxmlformats.org/officeDocument/2006/relationships/hyperlink" Target="https://yakeey.com/fr-ma/achat/biens/154243" TargetMode="External" Id="rId173"/><Relationship Type="http://schemas.openxmlformats.org/officeDocument/2006/relationships/hyperlink" Target="https://yakeey.com/fr-ma/achat/biens/154497" TargetMode="External" Id="rId174"/><Relationship Type="http://schemas.openxmlformats.org/officeDocument/2006/relationships/hyperlink" Target="https://yakeey.com/fr-ma/achat/biens/154557" TargetMode="External" Id="rId175"/><Relationship Type="http://schemas.openxmlformats.org/officeDocument/2006/relationships/hyperlink" Target="https://yakeey.com/fr-ma/achat/biens/154711" TargetMode="External" Id="rId176"/><Relationship Type="http://schemas.openxmlformats.org/officeDocument/2006/relationships/hyperlink" Target="https://yakeey.com/fr-ma/achat/biens/155153" TargetMode="External" Id="rId177"/><Relationship Type="http://schemas.openxmlformats.org/officeDocument/2006/relationships/hyperlink" Target="https://yakeey.com/fr-ma/achat/biens/155186" TargetMode="External" Id="rId178"/><Relationship Type="http://schemas.openxmlformats.org/officeDocument/2006/relationships/hyperlink" Target="https://yakeey.com/fr-ma/achat/biens/155662" TargetMode="External" Id="rId179"/><Relationship Type="http://schemas.openxmlformats.org/officeDocument/2006/relationships/hyperlink" Target="https://yakeey.com/fr-ma/achat/biens/155774" TargetMode="External" Id="rId180"/><Relationship Type="http://schemas.openxmlformats.org/officeDocument/2006/relationships/hyperlink" Target="https://yakeey.com/fr-ma/achat/biens/155876" TargetMode="External" Id="rId181"/><Relationship Type="http://schemas.openxmlformats.org/officeDocument/2006/relationships/hyperlink" Target="https://yakeey.com/fr-ma/achat/biens/155910" TargetMode="External" Id="rId182"/><Relationship Type="http://schemas.openxmlformats.org/officeDocument/2006/relationships/hyperlink" Target="https://yakeey.com/fr-ma/achat/biens/15615" TargetMode="External" Id="rId183"/><Relationship Type="http://schemas.openxmlformats.org/officeDocument/2006/relationships/hyperlink" Target="https://yakeey.com/fr-ma/achat/biens/156490" TargetMode="External" Id="rId184"/><Relationship Type="http://schemas.openxmlformats.org/officeDocument/2006/relationships/hyperlink" Target="https://yakeey.com/fr-ma/achat/biens/157017" TargetMode="External" Id="rId185"/><Relationship Type="http://schemas.openxmlformats.org/officeDocument/2006/relationships/hyperlink" Target="https://yakeey.com/fr-ma/achat/biens/157034" TargetMode="External" Id="rId186"/><Relationship Type="http://schemas.openxmlformats.org/officeDocument/2006/relationships/hyperlink" Target="https://yakeey.com/fr-ma/achat/biens/157062" TargetMode="External" Id="rId187"/><Relationship Type="http://schemas.openxmlformats.org/officeDocument/2006/relationships/hyperlink" Target="https://yakeey.com/fr-ma/achat/biens/15713" TargetMode="External" Id="rId188"/><Relationship Type="http://schemas.openxmlformats.org/officeDocument/2006/relationships/hyperlink" Target="https://yakeey.com/fr-ma/achat/biens/15715" TargetMode="External" Id="rId189"/><Relationship Type="http://schemas.openxmlformats.org/officeDocument/2006/relationships/hyperlink" Target="https://yakeey.com/fr-ma/achat/biens/15717" TargetMode="External" Id="rId190"/><Relationship Type="http://schemas.openxmlformats.org/officeDocument/2006/relationships/hyperlink" Target="https://yakeey.com/fr-ma/achat/biens/157216" TargetMode="External" Id="rId191"/><Relationship Type="http://schemas.openxmlformats.org/officeDocument/2006/relationships/hyperlink" Target="https://yakeey.com/fr-ma/achat/biens/157516" TargetMode="External" Id="rId192"/><Relationship Type="http://schemas.openxmlformats.org/officeDocument/2006/relationships/hyperlink" Target="https://yakeey.com/fr-ma/achat/biens/157649" TargetMode="External" Id="rId193"/><Relationship Type="http://schemas.openxmlformats.org/officeDocument/2006/relationships/hyperlink" Target="https://yakeey.com/fr-ma/achat/biens/157729" TargetMode="External" Id="rId194"/><Relationship Type="http://schemas.openxmlformats.org/officeDocument/2006/relationships/hyperlink" Target="https://yakeey.com/fr-ma/achat/biens/158361" TargetMode="External" Id="rId195"/><Relationship Type="http://schemas.openxmlformats.org/officeDocument/2006/relationships/hyperlink" Target="https://yakeey.com/fr-ma/achat/biens/158389" TargetMode="External" Id="rId196"/><Relationship Type="http://schemas.openxmlformats.org/officeDocument/2006/relationships/hyperlink" Target="https://yakeey.com/fr-ma/achat/biens/158533" TargetMode="External" Id="rId197"/><Relationship Type="http://schemas.openxmlformats.org/officeDocument/2006/relationships/hyperlink" Target="https://yakeey.com/fr-ma/achat/biens/158665" TargetMode="External" Id="rId198"/><Relationship Type="http://schemas.openxmlformats.org/officeDocument/2006/relationships/hyperlink" Target="https://yakeey.com/fr-ma/achat/biens/158707" TargetMode="External" Id="rId199"/><Relationship Type="http://schemas.openxmlformats.org/officeDocument/2006/relationships/hyperlink" Target="https://yakeey.com/fr-ma/achat/biens/158841" TargetMode="External" Id="rId200"/><Relationship Type="http://schemas.openxmlformats.org/officeDocument/2006/relationships/hyperlink" Target="https://yakeey.com/fr-ma/achat/biens/159033" TargetMode="External" Id="rId201"/><Relationship Type="http://schemas.openxmlformats.org/officeDocument/2006/relationships/hyperlink" Target="https://yakeey.com/fr-ma/achat/biens/159107" TargetMode="External" Id="rId202"/><Relationship Type="http://schemas.openxmlformats.org/officeDocument/2006/relationships/hyperlink" Target="https://yakeey.com/fr-ma/achat/biens/159160" TargetMode="External" Id="rId203"/><Relationship Type="http://schemas.openxmlformats.org/officeDocument/2006/relationships/hyperlink" Target="https://yakeey.com/fr-ma/achat/biens/159241" TargetMode="External" Id="rId204"/><Relationship Type="http://schemas.openxmlformats.org/officeDocument/2006/relationships/hyperlink" Target="https://yakeey.com/fr-ma/achat/biens/159429" TargetMode="External" Id="rId205"/><Relationship Type="http://schemas.openxmlformats.org/officeDocument/2006/relationships/hyperlink" Target="https://yakeey.com/fr-ma/achat/biens/159501" TargetMode="External" Id="rId206"/><Relationship Type="http://schemas.openxmlformats.org/officeDocument/2006/relationships/hyperlink" Target="https://yakeey.com/fr-ma/achat/biens/159520" TargetMode="External" Id="rId207"/><Relationship Type="http://schemas.openxmlformats.org/officeDocument/2006/relationships/hyperlink" Target="https://yakeey.com/fr-ma/achat/biens/159669" TargetMode="External" Id="rId208"/><Relationship Type="http://schemas.openxmlformats.org/officeDocument/2006/relationships/hyperlink" Target="https://yakeey.com/fr-ma/achat/biens/159679" TargetMode="External" Id="rId209"/><Relationship Type="http://schemas.openxmlformats.org/officeDocument/2006/relationships/hyperlink" Target="https://yakeey.com/fr-ma/achat/biens/159884" TargetMode="External" Id="rId210"/><Relationship Type="http://schemas.openxmlformats.org/officeDocument/2006/relationships/hyperlink" Target="https://yakeey.com/fr-ma/achat/biens/160233" TargetMode="External" Id="rId211"/><Relationship Type="http://schemas.openxmlformats.org/officeDocument/2006/relationships/hyperlink" Target="https://yakeey.com/fr-ma/achat/biens/160443" TargetMode="External" Id="rId212"/><Relationship Type="http://schemas.openxmlformats.org/officeDocument/2006/relationships/hyperlink" Target="https://yakeey.com/fr-ma/achat/biens/160453" TargetMode="External" Id="rId213"/><Relationship Type="http://schemas.openxmlformats.org/officeDocument/2006/relationships/hyperlink" Target="https://yakeey.com/fr-ma/achat/biens/160678" TargetMode="External" Id="rId214"/><Relationship Type="http://schemas.openxmlformats.org/officeDocument/2006/relationships/hyperlink" Target="https://yakeey.com/fr-ma/achat/biens/160739" TargetMode="External" Id="rId215"/><Relationship Type="http://schemas.openxmlformats.org/officeDocument/2006/relationships/hyperlink" Target="https://yakeey.com/fr-ma/achat/biens/160760" TargetMode="External" Id="rId216"/><Relationship Type="http://schemas.openxmlformats.org/officeDocument/2006/relationships/hyperlink" Target="https://yakeey.com/fr-ma/achat/biens/160775" TargetMode="External" Id="rId217"/><Relationship Type="http://schemas.openxmlformats.org/officeDocument/2006/relationships/hyperlink" Target="https://yakeey.com/fr-ma/achat/biens/160899" TargetMode="External" Id="rId218"/><Relationship Type="http://schemas.openxmlformats.org/officeDocument/2006/relationships/hyperlink" Target="https://yakeey.com/fr-ma/achat/biens/16102" TargetMode="External" Id="rId219"/><Relationship Type="http://schemas.openxmlformats.org/officeDocument/2006/relationships/hyperlink" Target="https://yakeey.com/fr-ma/achat/biens/161020" TargetMode="External" Id="rId220"/><Relationship Type="http://schemas.openxmlformats.org/officeDocument/2006/relationships/hyperlink" Target="https://yakeey.com/fr-ma/achat/biens/161364" TargetMode="External" Id="rId221"/><Relationship Type="http://schemas.openxmlformats.org/officeDocument/2006/relationships/hyperlink" Target="https://yakeey.com/fr-ma/achat/biens/161432" TargetMode="External" Id="rId222"/><Relationship Type="http://schemas.openxmlformats.org/officeDocument/2006/relationships/hyperlink" Target="https://yakeey.com/fr-ma/achat/biens/161470" TargetMode="External" Id="rId223"/><Relationship Type="http://schemas.openxmlformats.org/officeDocument/2006/relationships/hyperlink" Target="https://yakeey.com/fr-ma/achat/biens/161661" TargetMode="External" Id="rId224"/><Relationship Type="http://schemas.openxmlformats.org/officeDocument/2006/relationships/hyperlink" Target="https://yakeey.com/fr-ma/achat/biens/161798" TargetMode="External" Id="rId225"/><Relationship Type="http://schemas.openxmlformats.org/officeDocument/2006/relationships/hyperlink" Target="https://yakeey.com/fr-ma/achat/biens/161803" TargetMode="External" Id="rId226"/><Relationship Type="http://schemas.openxmlformats.org/officeDocument/2006/relationships/hyperlink" Target="https://yakeey.com/fr-ma/achat/biens/162129" TargetMode="External" Id="rId227"/><Relationship Type="http://schemas.openxmlformats.org/officeDocument/2006/relationships/hyperlink" Target="https://yakeey.com/fr-ma/achat/biens/162777" TargetMode="External" Id="rId228"/><Relationship Type="http://schemas.openxmlformats.org/officeDocument/2006/relationships/hyperlink" Target="https://yakeey.com/fr-ma/achat/biens/162925" TargetMode="External" Id="rId229"/><Relationship Type="http://schemas.openxmlformats.org/officeDocument/2006/relationships/hyperlink" Target="https://yakeey.com/fr-ma/achat/biens/163303" TargetMode="External" Id="rId230"/><Relationship Type="http://schemas.openxmlformats.org/officeDocument/2006/relationships/hyperlink" Target="https://yakeey.com/fr-ma/achat/biens/163446" TargetMode="External" Id="rId231"/><Relationship Type="http://schemas.openxmlformats.org/officeDocument/2006/relationships/hyperlink" Target="https://yakeey.com/fr-ma/achat/biens/163565" TargetMode="External" Id="rId232"/><Relationship Type="http://schemas.openxmlformats.org/officeDocument/2006/relationships/hyperlink" Target="https://yakeey.com/fr-ma/achat/biens/164106" TargetMode="External" Id="rId233"/><Relationship Type="http://schemas.openxmlformats.org/officeDocument/2006/relationships/hyperlink" Target="https://yakeey.com/fr-ma/achat/biens/164461" TargetMode="External" Id="rId234"/><Relationship Type="http://schemas.openxmlformats.org/officeDocument/2006/relationships/hyperlink" Target="https://yakeey.com/fr-ma/achat/biens/164541" TargetMode="External" Id="rId235"/><Relationship Type="http://schemas.openxmlformats.org/officeDocument/2006/relationships/hyperlink" Target="https://yakeey.com/fr-ma/achat/biens/164715" TargetMode="External" Id="rId236"/><Relationship Type="http://schemas.openxmlformats.org/officeDocument/2006/relationships/hyperlink" Target="https://yakeey.com/fr-ma/achat/biens/164881" TargetMode="External" Id="rId237"/><Relationship Type="http://schemas.openxmlformats.org/officeDocument/2006/relationships/hyperlink" Target="https://yakeey.com/fr-ma/achat/biens/164917" TargetMode="External" Id="rId238"/><Relationship Type="http://schemas.openxmlformats.org/officeDocument/2006/relationships/hyperlink" Target="https://yakeey.com/fr-ma/achat/biens/164942" TargetMode="External" Id="rId239"/><Relationship Type="http://schemas.openxmlformats.org/officeDocument/2006/relationships/hyperlink" Target="https://yakeey.com/fr-ma/achat/biens/165210" TargetMode="External" Id="rId240"/><Relationship Type="http://schemas.openxmlformats.org/officeDocument/2006/relationships/hyperlink" Target="https://yakeey.com/fr-ma/achat/biens/165435" TargetMode="External" Id="rId241"/><Relationship Type="http://schemas.openxmlformats.org/officeDocument/2006/relationships/hyperlink" Target="https://yakeey.com/fr-ma/achat/biens/165954" TargetMode="External" Id="rId242"/><Relationship Type="http://schemas.openxmlformats.org/officeDocument/2006/relationships/hyperlink" Target="https://yakeey.com/fr-ma/achat/biens/166115" TargetMode="External" Id="rId243"/><Relationship Type="http://schemas.openxmlformats.org/officeDocument/2006/relationships/hyperlink" Target="https://yakeey.com/fr-ma/achat/biens/166379" TargetMode="External" Id="rId244"/><Relationship Type="http://schemas.openxmlformats.org/officeDocument/2006/relationships/hyperlink" Target="https://yakeey.com/fr-ma/achat/biens/166649" TargetMode="External" Id="rId245"/><Relationship Type="http://schemas.openxmlformats.org/officeDocument/2006/relationships/hyperlink" Target="https://yakeey.com/fr-ma/achat/biens/16702" TargetMode="External" Id="rId246"/><Relationship Type="http://schemas.openxmlformats.org/officeDocument/2006/relationships/hyperlink" Target="https://yakeey.com/fr-ma/achat/biens/167248" TargetMode="External" Id="rId247"/><Relationship Type="http://schemas.openxmlformats.org/officeDocument/2006/relationships/hyperlink" Target="https://yakeey.com/fr-ma/achat/biens/167455" TargetMode="External" Id="rId248"/><Relationship Type="http://schemas.openxmlformats.org/officeDocument/2006/relationships/hyperlink" Target="https://yakeey.com/fr-ma/achat/biens/167465" TargetMode="External" Id="rId249"/><Relationship Type="http://schemas.openxmlformats.org/officeDocument/2006/relationships/hyperlink" Target="https://yakeey.com/fr-ma/achat/biens/167577" TargetMode="External" Id="rId250"/><Relationship Type="http://schemas.openxmlformats.org/officeDocument/2006/relationships/hyperlink" Target="https://yakeey.com/fr-ma/achat/biens/168041" TargetMode="External" Id="rId251"/><Relationship Type="http://schemas.openxmlformats.org/officeDocument/2006/relationships/hyperlink" Target="https://yakeey.com/fr-ma/achat/biens/168112" TargetMode="External" Id="rId252"/><Relationship Type="http://schemas.openxmlformats.org/officeDocument/2006/relationships/hyperlink" Target="https://yakeey.com/fr-ma/achat/biens/168135" TargetMode="External" Id="rId253"/><Relationship Type="http://schemas.openxmlformats.org/officeDocument/2006/relationships/hyperlink" Target="https://yakeey.com/fr-ma/achat/biens/168152" TargetMode="External" Id="rId254"/><Relationship Type="http://schemas.openxmlformats.org/officeDocument/2006/relationships/hyperlink" Target="https://yakeey.com/fr-ma/achat/biens/168546" TargetMode="External" Id="rId255"/><Relationship Type="http://schemas.openxmlformats.org/officeDocument/2006/relationships/hyperlink" Target="https://yakeey.com/fr-ma/achat/biens/168582" TargetMode="External" Id="rId256"/><Relationship Type="http://schemas.openxmlformats.org/officeDocument/2006/relationships/hyperlink" Target="https://yakeey.com/fr-ma/achat/biens/168689" TargetMode="External" Id="rId257"/><Relationship Type="http://schemas.openxmlformats.org/officeDocument/2006/relationships/hyperlink" Target="https://yakeey.com/fr-ma/achat/biens/16894" TargetMode="External" Id="rId258"/><Relationship Type="http://schemas.openxmlformats.org/officeDocument/2006/relationships/hyperlink" Target="https://yakeey.com/fr-ma/achat/biens/169251" TargetMode="External" Id="rId259"/><Relationship Type="http://schemas.openxmlformats.org/officeDocument/2006/relationships/hyperlink" Target="https://yakeey.com/fr-ma/achat/biens/169320" TargetMode="External" Id="rId260"/><Relationship Type="http://schemas.openxmlformats.org/officeDocument/2006/relationships/hyperlink" Target="https://yakeey.com/fr-ma/achat/biens/169617" TargetMode="External" Id="rId261"/><Relationship Type="http://schemas.openxmlformats.org/officeDocument/2006/relationships/hyperlink" Target="https://yakeey.com/fr-ma/achat/biens/169851" TargetMode="External" Id="rId262"/><Relationship Type="http://schemas.openxmlformats.org/officeDocument/2006/relationships/hyperlink" Target="https://yakeey.com/fr-ma/achat/biens/169899" TargetMode="External" Id="rId263"/><Relationship Type="http://schemas.openxmlformats.org/officeDocument/2006/relationships/hyperlink" Target="https://yakeey.com/fr-ma/achat/biens/170275" TargetMode="External" Id="rId264"/><Relationship Type="http://schemas.openxmlformats.org/officeDocument/2006/relationships/hyperlink" Target="https://yakeey.com/fr-ma/achat/biens/170344" TargetMode="External" Id="rId265"/><Relationship Type="http://schemas.openxmlformats.org/officeDocument/2006/relationships/hyperlink" Target="https://yakeey.com/fr-ma/achat/biens/170405" TargetMode="External" Id="rId266"/><Relationship Type="http://schemas.openxmlformats.org/officeDocument/2006/relationships/hyperlink" Target="https://yakeey.com/fr-ma/achat/biens/170557" TargetMode="External" Id="rId267"/><Relationship Type="http://schemas.openxmlformats.org/officeDocument/2006/relationships/hyperlink" Target="https://yakeey.com/fr-ma/achat/biens/170655" TargetMode="External" Id="rId268"/><Relationship Type="http://schemas.openxmlformats.org/officeDocument/2006/relationships/hyperlink" Target="https://yakeey.com/fr-ma/achat/biens/170679" TargetMode="External" Id="rId269"/><Relationship Type="http://schemas.openxmlformats.org/officeDocument/2006/relationships/hyperlink" Target="https://yakeey.com/fr-ma/achat/biens/170844" TargetMode="External" Id="rId270"/><Relationship Type="http://schemas.openxmlformats.org/officeDocument/2006/relationships/hyperlink" Target="https://yakeey.com/fr-ma/achat/biens/170850" TargetMode="External" Id="rId271"/><Relationship Type="http://schemas.openxmlformats.org/officeDocument/2006/relationships/hyperlink" Target="https://yakeey.com/fr-ma/achat/biens/170907" TargetMode="External" Id="rId272"/><Relationship Type="http://schemas.openxmlformats.org/officeDocument/2006/relationships/hyperlink" Target="https://yakeey.com/fr-ma/achat/biens/170912" TargetMode="External" Id="rId273"/><Relationship Type="http://schemas.openxmlformats.org/officeDocument/2006/relationships/hyperlink" Target="https://yakeey.com/fr-ma/achat/biens/170933" TargetMode="External" Id="rId274"/><Relationship Type="http://schemas.openxmlformats.org/officeDocument/2006/relationships/hyperlink" Target="https://yakeey.com/fr-ma/achat/biens/171510" TargetMode="External" Id="rId275"/><Relationship Type="http://schemas.openxmlformats.org/officeDocument/2006/relationships/hyperlink" Target="https://yakeey.com/fr-ma/achat/biens/171575" TargetMode="External" Id="rId276"/><Relationship Type="http://schemas.openxmlformats.org/officeDocument/2006/relationships/hyperlink" Target="https://yakeey.com/fr-ma/achat/biens/171599" TargetMode="External" Id="rId277"/><Relationship Type="http://schemas.openxmlformats.org/officeDocument/2006/relationships/hyperlink" Target="https://yakeey.com/fr-ma/achat/biens/171609" TargetMode="External" Id="rId278"/><Relationship Type="http://schemas.openxmlformats.org/officeDocument/2006/relationships/hyperlink" Target="https://yakeey.com/fr-ma/achat/biens/171653" TargetMode="External" Id="rId279"/><Relationship Type="http://schemas.openxmlformats.org/officeDocument/2006/relationships/hyperlink" Target="https://yakeey.com/fr-ma/achat/biens/171673" TargetMode="External" Id="rId280"/><Relationship Type="http://schemas.openxmlformats.org/officeDocument/2006/relationships/hyperlink" Target="https://yakeey.com/fr-ma/achat/biens/171766" TargetMode="External" Id="rId281"/><Relationship Type="http://schemas.openxmlformats.org/officeDocument/2006/relationships/hyperlink" Target="https://yakeey.com/fr-ma/achat/biens/171773" TargetMode="External" Id="rId282"/><Relationship Type="http://schemas.openxmlformats.org/officeDocument/2006/relationships/hyperlink" Target="https://yakeey.com/fr-ma/achat/biens/171812" TargetMode="External" Id="rId283"/><Relationship Type="http://schemas.openxmlformats.org/officeDocument/2006/relationships/hyperlink" Target="https://yakeey.com/fr-ma/achat/biens/171908" TargetMode="External" Id="rId284"/><Relationship Type="http://schemas.openxmlformats.org/officeDocument/2006/relationships/hyperlink" Target="https://yakeey.com/fr-ma/achat/biens/172161" TargetMode="External" Id="rId285"/><Relationship Type="http://schemas.openxmlformats.org/officeDocument/2006/relationships/hyperlink" Target="https://yakeey.com/fr-ma/achat/biens/172308" TargetMode="External" Id="rId286"/><Relationship Type="http://schemas.openxmlformats.org/officeDocument/2006/relationships/hyperlink" Target="https://yakeey.com/fr-ma/achat/biens/172477" TargetMode="External" Id="rId287"/><Relationship Type="http://schemas.openxmlformats.org/officeDocument/2006/relationships/hyperlink" Target="https://yakeey.com/fr-ma/achat/biens/172515" TargetMode="External" Id="rId288"/><Relationship Type="http://schemas.openxmlformats.org/officeDocument/2006/relationships/hyperlink" Target="https://yakeey.com/fr-ma/achat/biens/172541" TargetMode="External" Id="rId289"/><Relationship Type="http://schemas.openxmlformats.org/officeDocument/2006/relationships/hyperlink" Target="https://yakeey.com/fr-ma/achat/biens/172694" TargetMode="External" Id="rId290"/><Relationship Type="http://schemas.openxmlformats.org/officeDocument/2006/relationships/hyperlink" Target="https://yakeey.com/fr-ma/achat/biens/172724" TargetMode="External" Id="rId291"/><Relationship Type="http://schemas.openxmlformats.org/officeDocument/2006/relationships/hyperlink" Target="https://yakeey.com/fr-ma/achat/biens/172801" TargetMode="External" Id="rId292"/><Relationship Type="http://schemas.openxmlformats.org/officeDocument/2006/relationships/hyperlink" Target="https://yakeey.com/fr-ma/achat/biens/172883" TargetMode="External" Id="rId293"/><Relationship Type="http://schemas.openxmlformats.org/officeDocument/2006/relationships/hyperlink" Target="https://yakeey.com/fr-ma/achat/biens/173395" TargetMode="External" Id="rId294"/><Relationship Type="http://schemas.openxmlformats.org/officeDocument/2006/relationships/hyperlink" Target="https://yakeey.com/fr-ma/achat/biens/173485" TargetMode="External" Id="rId295"/><Relationship Type="http://schemas.openxmlformats.org/officeDocument/2006/relationships/hyperlink" Target="https://yakeey.com/fr-ma/achat/biens/173527" TargetMode="External" Id="rId296"/><Relationship Type="http://schemas.openxmlformats.org/officeDocument/2006/relationships/hyperlink" Target="https://yakeey.com/fr-ma/achat/biens/173568" TargetMode="External" Id="rId297"/><Relationship Type="http://schemas.openxmlformats.org/officeDocument/2006/relationships/hyperlink" Target="https://yakeey.com/fr-ma/achat/biens/173582" TargetMode="External" Id="rId298"/><Relationship Type="http://schemas.openxmlformats.org/officeDocument/2006/relationships/hyperlink" Target="https://yakeey.com/fr-ma/achat/biens/173641" TargetMode="External" Id="rId299"/><Relationship Type="http://schemas.openxmlformats.org/officeDocument/2006/relationships/hyperlink" Target="https://yakeey.com/fr-ma/achat/biens/173650" TargetMode="External" Id="rId300"/><Relationship Type="http://schemas.openxmlformats.org/officeDocument/2006/relationships/hyperlink" Target="https://yakeey.com/fr-ma/achat/biens/173709" TargetMode="External" Id="rId301"/><Relationship Type="http://schemas.openxmlformats.org/officeDocument/2006/relationships/hyperlink" Target="https://yakeey.com/fr-ma/achat/biens/173717" TargetMode="External" Id="rId302"/><Relationship Type="http://schemas.openxmlformats.org/officeDocument/2006/relationships/hyperlink" Target="https://yakeey.com/fr-ma/achat/biens/173786" TargetMode="External" Id="rId303"/><Relationship Type="http://schemas.openxmlformats.org/officeDocument/2006/relationships/hyperlink" Target="https://yakeey.com/fr-ma/achat/biens/173793" TargetMode="External" Id="rId304"/><Relationship Type="http://schemas.openxmlformats.org/officeDocument/2006/relationships/hyperlink" Target="https://yakeey.com/fr-ma/achat/biens/173881" TargetMode="External" Id="rId305"/><Relationship Type="http://schemas.openxmlformats.org/officeDocument/2006/relationships/hyperlink" Target="https://yakeey.com/fr-ma/achat/biens/174461" TargetMode="External" Id="rId306"/><Relationship Type="http://schemas.openxmlformats.org/officeDocument/2006/relationships/hyperlink" Target="https://yakeey.com/fr-ma/achat/biens/174545" TargetMode="External" Id="rId307"/><Relationship Type="http://schemas.openxmlformats.org/officeDocument/2006/relationships/hyperlink" Target="https://yakeey.com/fr-ma/achat/biens/174557" TargetMode="External" Id="rId308"/><Relationship Type="http://schemas.openxmlformats.org/officeDocument/2006/relationships/hyperlink" Target="https://yakeey.com/fr-ma/achat/biens/174789" TargetMode="External" Id="rId309"/><Relationship Type="http://schemas.openxmlformats.org/officeDocument/2006/relationships/hyperlink" Target="https://yakeey.com/fr-ma/achat/biens/174879" TargetMode="External" Id="rId310"/><Relationship Type="http://schemas.openxmlformats.org/officeDocument/2006/relationships/hyperlink" Target="https://yakeey.com/fr-ma/achat/biens/174921" TargetMode="External" Id="rId311"/><Relationship Type="http://schemas.openxmlformats.org/officeDocument/2006/relationships/hyperlink" Target="https://yakeey.com/fr-ma/achat/biens/174941" TargetMode="External" Id="rId312"/><Relationship Type="http://schemas.openxmlformats.org/officeDocument/2006/relationships/hyperlink" Target="https://yakeey.com/fr-ma/achat/biens/174997" TargetMode="External" Id="rId313"/><Relationship Type="http://schemas.openxmlformats.org/officeDocument/2006/relationships/hyperlink" Target="https://yakeey.com/fr-ma/achat/biens/175188" TargetMode="External" Id="rId314"/><Relationship Type="http://schemas.openxmlformats.org/officeDocument/2006/relationships/hyperlink" Target="https://yakeey.com/fr-ma/achat/biens/175270" TargetMode="External" Id="rId315"/><Relationship Type="http://schemas.openxmlformats.org/officeDocument/2006/relationships/hyperlink" Target="https://yakeey.com/fr-ma/achat/biens/175318" TargetMode="External" Id="rId316"/><Relationship Type="http://schemas.openxmlformats.org/officeDocument/2006/relationships/hyperlink" Target="https://yakeey.com/fr-ma/achat/biens/175338" TargetMode="External" Id="rId317"/><Relationship Type="http://schemas.openxmlformats.org/officeDocument/2006/relationships/hyperlink" Target="https://yakeey.com/fr-ma/achat/biens/175339" TargetMode="External" Id="rId318"/><Relationship Type="http://schemas.openxmlformats.org/officeDocument/2006/relationships/hyperlink" Target="https://yakeey.com/fr-ma/achat/biens/175686" TargetMode="External" Id="rId319"/><Relationship Type="http://schemas.openxmlformats.org/officeDocument/2006/relationships/hyperlink" Target="https://yakeey.com/fr-ma/achat/biens/175756" TargetMode="External" Id="rId320"/><Relationship Type="http://schemas.openxmlformats.org/officeDocument/2006/relationships/hyperlink" Target="https://yakeey.com/fr-ma/achat/biens/175793" TargetMode="External" Id="rId321"/><Relationship Type="http://schemas.openxmlformats.org/officeDocument/2006/relationships/hyperlink" Target="https://yakeey.com/fr-ma/achat/biens/175826" TargetMode="External" Id="rId322"/><Relationship Type="http://schemas.openxmlformats.org/officeDocument/2006/relationships/hyperlink" Target="https://yakeey.com/fr-ma/achat/biens/175918" TargetMode="External" Id="rId323"/><Relationship Type="http://schemas.openxmlformats.org/officeDocument/2006/relationships/hyperlink" Target="https://yakeey.com/fr-ma/achat/biens/176144" TargetMode="External" Id="rId324"/><Relationship Type="http://schemas.openxmlformats.org/officeDocument/2006/relationships/hyperlink" Target="https://yakeey.com/fr-ma/achat/biens/176270" TargetMode="External" Id="rId325"/><Relationship Type="http://schemas.openxmlformats.org/officeDocument/2006/relationships/hyperlink" Target="https://yakeey.com/fr-ma/achat/biens/176586" TargetMode="External" Id="rId326"/><Relationship Type="http://schemas.openxmlformats.org/officeDocument/2006/relationships/hyperlink" Target="https://yakeey.com/fr-ma/achat/biens/176757" TargetMode="External" Id="rId327"/><Relationship Type="http://schemas.openxmlformats.org/officeDocument/2006/relationships/hyperlink" Target="https://yakeey.com/fr-ma/achat/biens/176930" TargetMode="External" Id="rId328"/><Relationship Type="http://schemas.openxmlformats.org/officeDocument/2006/relationships/hyperlink" Target="https://yakeey.com/fr-ma/achat/biens/176934" TargetMode="External" Id="rId329"/><Relationship Type="http://schemas.openxmlformats.org/officeDocument/2006/relationships/hyperlink" Target="https://yakeey.com/fr-ma/achat/biens/177045" TargetMode="External" Id="rId330"/><Relationship Type="http://schemas.openxmlformats.org/officeDocument/2006/relationships/hyperlink" Target="https://yakeey.com/fr-ma/achat/biens/177056" TargetMode="External" Id="rId331"/><Relationship Type="http://schemas.openxmlformats.org/officeDocument/2006/relationships/hyperlink" Target="https://yakeey.com/fr-ma/achat/biens/177224" TargetMode="External" Id="rId332"/><Relationship Type="http://schemas.openxmlformats.org/officeDocument/2006/relationships/hyperlink" Target="https://yakeey.com/fr-ma/achat/biens/177336" TargetMode="External" Id="rId333"/><Relationship Type="http://schemas.openxmlformats.org/officeDocument/2006/relationships/hyperlink" Target="https://yakeey.com/fr-ma/achat/biens/177504" TargetMode="External" Id="rId334"/><Relationship Type="http://schemas.openxmlformats.org/officeDocument/2006/relationships/hyperlink" Target="https://yakeey.com/fr-ma/achat/biens/177547" TargetMode="External" Id="rId335"/><Relationship Type="http://schemas.openxmlformats.org/officeDocument/2006/relationships/hyperlink" Target="https://yakeey.com/fr-ma/achat/biens/177585" TargetMode="External" Id="rId336"/><Relationship Type="http://schemas.openxmlformats.org/officeDocument/2006/relationships/hyperlink" Target="https://yakeey.com/fr-ma/achat/biens/177670" TargetMode="External" Id="rId337"/><Relationship Type="http://schemas.openxmlformats.org/officeDocument/2006/relationships/hyperlink" Target="https://yakeey.com/fr-ma/achat/biens/177762" TargetMode="External" Id="rId338"/><Relationship Type="http://schemas.openxmlformats.org/officeDocument/2006/relationships/hyperlink" Target="https://yakeey.com/fr-ma/achat/biens/177769" TargetMode="External" Id="rId339"/><Relationship Type="http://schemas.openxmlformats.org/officeDocument/2006/relationships/hyperlink" Target="https://yakeey.com/fr-ma/achat/biens/177821" TargetMode="External" Id="rId340"/><Relationship Type="http://schemas.openxmlformats.org/officeDocument/2006/relationships/hyperlink" Target="https://yakeey.com/fr-ma/achat/biens/17791" TargetMode="External" Id="rId341"/><Relationship Type="http://schemas.openxmlformats.org/officeDocument/2006/relationships/hyperlink" Target="https://yakeey.com/fr-ma/achat/biens/177930" TargetMode="External" Id="rId342"/><Relationship Type="http://schemas.openxmlformats.org/officeDocument/2006/relationships/hyperlink" Target="https://yakeey.com/fr-ma/achat/biens/177959" TargetMode="External" Id="rId343"/><Relationship Type="http://schemas.openxmlformats.org/officeDocument/2006/relationships/hyperlink" Target="https://yakeey.com/fr-ma/achat/biens/178155" TargetMode="External" Id="rId344"/><Relationship Type="http://schemas.openxmlformats.org/officeDocument/2006/relationships/hyperlink" Target="https://yakeey.com/fr-ma/achat/biens/178291" TargetMode="External" Id="rId345"/><Relationship Type="http://schemas.openxmlformats.org/officeDocument/2006/relationships/hyperlink" Target="https://yakeey.com/fr-ma/achat/biens/178299" TargetMode="External" Id="rId346"/><Relationship Type="http://schemas.openxmlformats.org/officeDocument/2006/relationships/hyperlink" Target="https://yakeey.com/fr-ma/achat/biens/178376" TargetMode="External" Id="rId347"/><Relationship Type="http://schemas.openxmlformats.org/officeDocument/2006/relationships/hyperlink" Target="https://yakeey.com/fr-ma/achat/biens/178417" TargetMode="External" Id="rId348"/><Relationship Type="http://schemas.openxmlformats.org/officeDocument/2006/relationships/hyperlink" Target="https://yakeey.com/fr-ma/achat/biens/178847" TargetMode="External" Id="rId349"/><Relationship Type="http://schemas.openxmlformats.org/officeDocument/2006/relationships/hyperlink" Target="https://yakeey.com/fr-ma/achat/biens/178925" TargetMode="External" Id="rId350"/><Relationship Type="http://schemas.openxmlformats.org/officeDocument/2006/relationships/hyperlink" Target="https://yakeey.com/fr-ma/achat/biens/179011" TargetMode="External" Id="rId351"/><Relationship Type="http://schemas.openxmlformats.org/officeDocument/2006/relationships/hyperlink" Target="https://yakeey.com/fr-ma/achat/biens/179134" TargetMode="External" Id="rId352"/><Relationship Type="http://schemas.openxmlformats.org/officeDocument/2006/relationships/hyperlink" Target="https://yakeey.com/fr-ma/achat/biens/179286" TargetMode="External" Id="rId353"/><Relationship Type="http://schemas.openxmlformats.org/officeDocument/2006/relationships/hyperlink" Target="https://yakeey.com/fr-ma/achat/biens/179357" TargetMode="External" Id="rId354"/><Relationship Type="http://schemas.openxmlformats.org/officeDocument/2006/relationships/hyperlink" Target="https://yakeey.com/fr-ma/achat/biens/179399" TargetMode="External" Id="rId355"/><Relationship Type="http://schemas.openxmlformats.org/officeDocument/2006/relationships/hyperlink" Target="https://yakeey.com/fr-ma/achat/biens/179528" TargetMode="External" Id="rId356"/><Relationship Type="http://schemas.openxmlformats.org/officeDocument/2006/relationships/hyperlink" Target="https://yakeey.com/fr-ma/achat/biens/179530" TargetMode="External" Id="rId357"/><Relationship Type="http://schemas.openxmlformats.org/officeDocument/2006/relationships/hyperlink" Target="https://yakeey.com/fr-ma/achat/biens/179684" TargetMode="External" Id="rId358"/><Relationship Type="http://schemas.openxmlformats.org/officeDocument/2006/relationships/hyperlink" Target="https://yakeey.com/fr-ma/achat/biens/179712" TargetMode="External" Id="rId359"/><Relationship Type="http://schemas.openxmlformats.org/officeDocument/2006/relationships/hyperlink" Target="https://yakeey.com/fr-ma/achat/biens/180012" TargetMode="External" Id="rId360"/><Relationship Type="http://schemas.openxmlformats.org/officeDocument/2006/relationships/hyperlink" Target="https://yakeey.com/fr-ma/achat/biens/180180" TargetMode="External" Id="rId361"/><Relationship Type="http://schemas.openxmlformats.org/officeDocument/2006/relationships/hyperlink" Target="https://yakeey.com/fr-ma/achat/biens/180215" TargetMode="External" Id="rId362"/><Relationship Type="http://schemas.openxmlformats.org/officeDocument/2006/relationships/hyperlink" Target="https://yakeey.com/fr-ma/achat/biens/180262" TargetMode="External" Id="rId363"/><Relationship Type="http://schemas.openxmlformats.org/officeDocument/2006/relationships/hyperlink" Target="https://yakeey.com/fr-ma/achat/biens/180271" TargetMode="External" Id="rId364"/><Relationship Type="http://schemas.openxmlformats.org/officeDocument/2006/relationships/hyperlink" Target="https://yakeey.com/fr-ma/achat/biens/180354" TargetMode="External" Id="rId365"/><Relationship Type="http://schemas.openxmlformats.org/officeDocument/2006/relationships/hyperlink" Target="https://yakeey.com/fr-ma/achat/biens/180421" TargetMode="External" Id="rId366"/><Relationship Type="http://schemas.openxmlformats.org/officeDocument/2006/relationships/hyperlink" Target="https://yakeey.com/fr-ma/achat/biens/180553" TargetMode="External" Id="rId367"/><Relationship Type="http://schemas.openxmlformats.org/officeDocument/2006/relationships/hyperlink" Target="https://yakeey.com/fr-ma/achat/biens/180595" TargetMode="External" Id="rId368"/><Relationship Type="http://schemas.openxmlformats.org/officeDocument/2006/relationships/hyperlink" Target="https://yakeey.com/fr-ma/achat/biens/180636" TargetMode="External" Id="rId369"/><Relationship Type="http://schemas.openxmlformats.org/officeDocument/2006/relationships/hyperlink" Target="https://yakeey.com/fr-ma/achat/biens/180722" TargetMode="External" Id="rId370"/><Relationship Type="http://schemas.openxmlformats.org/officeDocument/2006/relationships/hyperlink" Target="https://yakeey.com/fr-ma/achat/biens/180763" TargetMode="External" Id="rId371"/><Relationship Type="http://schemas.openxmlformats.org/officeDocument/2006/relationships/hyperlink" Target="https://yakeey.com/fr-ma/achat/biens/180775" TargetMode="External" Id="rId372"/><Relationship Type="http://schemas.openxmlformats.org/officeDocument/2006/relationships/hyperlink" Target="https://yakeey.com/fr-ma/achat/biens/180997" TargetMode="External" Id="rId373"/><Relationship Type="http://schemas.openxmlformats.org/officeDocument/2006/relationships/hyperlink" Target="https://yakeey.com/fr-ma/achat/biens/181262" TargetMode="External" Id="rId374"/><Relationship Type="http://schemas.openxmlformats.org/officeDocument/2006/relationships/hyperlink" Target="https://yakeey.com/fr-ma/achat/biens/181635" TargetMode="External" Id="rId375"/><Relationship Type="http://schemas.openxmlformats.org/officeDocument/2006/relationships/hyperlink" Target="https://yakeey.com/fr-ma/achat/biens/181748" TargetMode="External" Id="rId376"/><Relationship Type="http://schemas.openxmlformats.org/officeDocument/2006/relationships/hyperlink" Target="https://yakeey.com/fr-ma/achat/biens/181750" TargetMode="External" Id="rId377"/><Relationship Type="http://schemas.openxmlformats.org/officeDocument/2006/relationships/hyperlink" Target="https://yakeey.com/fr-ma/achat/biens/181756" TargetMode="External" Id="rId378"/><Relationship Type="http://schemas.openxmlformats.org/officeDocument/2006/relationships/hyperlink" Target="https://yakeey.com/fr-ma/achat/biens/181780" TargetMode="External" Id="rId379"/><Relationship Type="http://schemas.openxmlformats.org/officeDocument/2006/relationships/hyperlink" Target="https://yakeey.com/fr-ma/achat/biens/181833" TargetMode="External" Id="rId380"/><Relationship Type="http://schemas.openxmlformats.org/officeDocument/2006/relationships/hyperlink" Target="https://yakeey.com/fr-ma/achat/biens/181837" TargetMode="External" Id="rId381"/><Relationship Type="http://schemas.openxmlformats.org/officeDocument/2006/relationships/hyperlink" Target="https://yakeey.com/fr-ma/achat/biens/181851" TargetMode="External" Id="rId382"/><Relationship Type="http://schemas.openxmlformats.org/officeDocument/2006/relationships/hyperlink" Target="https://yakeey.com/fr-ma/achat/biens/181853" TargetMode="External" Id="rId383"/><Relationship Type="http://schemas.openxmlformats.org/officeDocument/2006/relationships/hyperlink" Target="https://yakeey.com/fr-ma/achat/biens/181895" TargetMode="External" Id="rId384"/><Relationship Type="http://schemas.openxmlformats.org/officeDocument/2006/relationships/hyperlink" Target="https://yakeey.com/fr-ma/achat/biens/181928" TargetMode="External" Id="rId385"/><Relationship Type="http://schemas.openxmlformats.org/officeDocument/2006/relationships/hyperlink" Target="https://yakeey.com/fr-ma/achat/biens/181942" TargetMode="External" Id="rId386"/><Relationship Type="http://schemas.openxmlformats.org/officeDocument/2006/relationships/hyperlink" Target="https://yakeey.com/fr-ma/achat/biens/182092" TargetMode="External" Id="rId387"/><Relationship Type="http://schemas.openxmlformats.org/officeDocument/2006/relationships/hyperlink" Target="https://yakeey.com/fr-ma/achat/biens/182174" TargetMode="External" Id="rId388"/><Relationship Type="http://schemas.openxmlformats.org/officeDocument/2006/relationships/hyperlink" Target="https://yakeey.com/fr-ma/achat/biens/182177" TargetMode="External" Id="rId389"/><Relationship Type="http://schemas.openxmlformats.org/officeDocument/2006/relationships/hyperlink" Target="https://yakeey.com/fr-ma/achat/biens/182180" TargetMode="External" Id="rId390"/><Relationship Type="http://schemas.openxmlformats.org/officeDocument/2006/relationships/hyperlink" Target="https://yakeey.com/fr-ma/achat/biens/182181" TargetMode="External" Id="rId391"/><Relationship Type="http://schemas.openxmlformats.org/officeDocument/2006/relationships/hyperlink" Target="https://yakeey.com/fr-ma/achat/biens/182269" TargetMode="External" Id="rId392"/><Relationship Type="http://schemas.openxmlformats.org/officeDocument/2006/relationships/hyperlink" Target="https://yakeey.com/fr-ma/achat/biens/182281" TargetMode="External" Id="rId393"/><Relationship Type="http://schemas.openxmlformats.org/officeDocument/2006/relationships/hyperlink" Target="https://yakeey.com/fr-ma/achat/biens/182322" TargetMode="External" Id="rId394"/><Relationship Type="http://schemas.openxmlformats.org/officeDocument/2006/relationships/hyperlink" Target="https://yakeey.com/fr-ma/achat/biens/182335" TargetMode="External" Id="rId395"/><Relationship Type="http://schemas.openxmlformats.org/officeDocument/2006/relationships/hyperlink" Target="https://yakeey.com/fr-ma/achat/biens/182339" TargetMode="External" Id="rId396"/><Relationship Type="http://schemas.openxmlformats.org/officeDocument/2006/relationships/hyperlink" Target="https://yakeey.com/fr-ma/achat/biens/182346" TargetMode="External" Id="rId397"/><Relationship Type="http://schemas.openxmlformats.org/officeDocument/2006/relationships/hyperlink" Target="https://yakeey.com/fr-ma/achat/biens/182360" TargetMode="External" Id="rId398"/><Relationship Type="http://schemas.openxmlformats.org/officeDocument/2006/relationships/hyperlink" Target="https://yakeey.com/fr-ma/achat/biens/182361" TargetMode="External" Id="rId399"/><Relationship Type="http://schemas.openxmlformats.org/officeDocument/2006/relationships/hyperlink" Target="https://yakeey.com/fr-ma/achat/biens/182392" TargetMode="External" Id="rId400"/><Relationship Type="http://schemas.openxmlformats.org/officeDocument/2006/relationships/hyperlink" Target="https://yakeey.com/fr-ma/achat/biens/182437" TargetMode="External" Id="rId401"/><Relationship Type="http://schemas.openxmlformats.org/officeDocument/2006/relationships/hyperlink" Target="https://yakeey.com/fr-ma/achat/biens/182625" TargetMode="External" Id="rId402"/><Relationship Type="http://schemas.openxmlformats.org/officeDocument/2006/relationships/hyperlink" Target="https://yakeey.com/fr-ma/achat/biens/182684" TargetMode="External" Id="rId403"/><Relationship Type="http://schemas.openxmlformats.org/officeDocument/2006/relationships/hyperlink" Target="https://yakeey.com/fr-ma/achat/biens/182777" TargetMode="External" Id="rId404"/><Relationship Type="http://schemas.openxmlformats.org/officeDocument/2006/relationships/hyperlink" Target="https://yakeey.com/fr-ma/achat/biens/182799" TargetMode="External" Id="rId405"/><Relationship Type="http://schemas.openxmlformats.org/officeDocument/2006/relationships/hyperlink" Target="https://yakeey.com/fr-ma/achat/biens/182901" TargetMode="External" Id="rId406"/><Relationship Type="http://schemas.openxmlformats.org/officeDocument/2006/relationships/hyperlink" Target="https://yakeey.com/fr-ma/achat/biens/183050" TargetMode="External" Id="rId407"/><Relationship Type="http://schemas.openxmlformats.org/officeDocument/2006/relationships/hyperlink" Target="https://yakeey.com/fr-ma/achat/biens/183142" TargetMode="External" Id="rId408"/><Relationship Type="http://schemas.openxmlformats.org/officeDocument/2006/relationships/hyperlink" Target="https://yakeey.com/fr-ma/achat/biens/183157" TargetMode="External" Id="rId409"/><Relationship Type="http://schemas.openxmlformats.org/officeDocument/2006/relationships/hyperlink" Target="https://yakeey.com/fr-ma/achat/biens/183180" TargetMode="External" Id="rId410"/><Relationship Type="http://schemas.openxmlformats.org/officeDocument/2006/relationships/hyperlink" Target="https://yakeey.com/fr-ma/achat/biens/183403" TargetMode="External" Id="rId411"/><Relationship Type="http://schemas.openxmlformats.org/officeDocument/2006/relationships/hyperlink" Target="https://yakeey.com/fr-ma/achat/biens/183501" TargetMode="External" Id="rId412"/><Relationship Type="http://schemas.openxmlformats.org/officeDocument/2006/relationships/hyperlink" Target="https://yakeey.com/fr-ma/achat/biens/183542" TargetMode="External" Id="rId413"/><Relationship Type="http://schemas.openxmlformats.org/officeDocument/2006/relationships/hyperlink" Target="https://yakeey.com/fr-ma/achat/biens/183544" TargetMode="External" Id="rId414"/><Relationship Type="http://schemas.openxmlformats.org/officeDocument/2006/relationships/hyperlink" Target="https://yakeey.com/fr-ma/achat/biens/183604" TargetMode="External" Id="rId415"/><Relationship Type="http://schemas.openxmlformats.org/officeDocument/2006/relationships/hyperlink" Target="https://yakeey.com/fr-ma/achat/biens/183865" TargetMode="External" Id="rId416"/><Relationship Type="http://schemas.openxmlformats.org/officeDocument/2006/relationships/hyperlink" Target="https://yakeey.com/fr-ma/achat/biens/183945" TargetMode="External" Id="rId417"/><Relationship Type="http://schemas.openxmlformats.org/officeDocument/2006/relationships/hyperlink" Target="https://yakeey.com/fr-ma/achat/biens/184138" TargetMode="External" Id="rId418"/><Relationship Type="http://schemas.openxmlformats.org/officeDocument/2006/relationships/hyperlink" Target="https://yakeey.com/fr-ma/achat/biens/184254" TargetMode="External" Id="rId419"/><Relationship Type="http://schemas.openxmlformats.org/officeDocument/2006/relationships/hyperlink" Target="https://yakeey.com/fr-ma/achat/biens/184314" TargetMode="External" Id="rId420"/><Relationship Type="http://schemas.openxmlformats.org/officeDocument/2006/relationships/hyperlink" Target="https://yakeey.com/fr-ma/achat/biens/184353" TargetMode="External" Id="rId421"/><Relationship Type="http://schemas.openxmlformats.org/officeDocument/2006/relationships/hyperlink" Target="https://yakeey.com/fr-ma/achat/biens/184374" TargetMode="External" Id="rId422"/><Relationship Type="http://schemas.openxmlformats.org/officeDocument/2006/relationships/hyperlink" Target="https://yakeey.com/fr-ma/achat/biens/184381" TargetMode="External" Id="rId423"/><Relationship Type="http://schemas.openxmlformats.org/officeDocument/2006/relationships/hyperlink" Target="https://yakeey.com/fr-ma/achat/biens/184393" TargetMode="External" Id="rId424"/><Relationship Type="http://schemas.openxmlformats.org/officeDocument/2006/relationships/hyperlink" Target="https://yakeey.com/fr-ma/achat/biens/184496" TargetMode="External" Id="rId425"/><Relationship Type="http://schemas.openxmlformats.org/officeDocument/2006/relationships/hyperlink" Target="https://yakeey.com/fr-ma/achat/biens/184510" TargetMode="External" Id="rId426"/><Relationship Type="http://schemas.openxmlformats.org/officeDocument/2006/relationships/hyperlink" Target="https://yakeey.com/fr-ma/achat/biens/184600" TargetMode="External" Id="rId427"/><Relationship Type="http://schemas.openxmlformats.org/officeDocument/2006/relationships/hyperlink" Target="https://yakeey.com/fr-ma/achat/biens/184639" TargetMode="External" Id="rId428"/><Relationship Type="http://schemas.openxmlformats.org/officeDocument/2006/relationships/hyperlink" Target="https://yakeey.com/fr-ma/achat/biens/184727" TargetMode="External" Id="rId429"/><Relationship Type="http://schemas.openxmlformats.org/officeDocument/2006/relationships/hyperlink" Target="https://yakeey.com/fr-ma/achat/biens/184806" TargetMode="External" Id="rId430"/><Relationship Type="http://schemas.openxmlformats.org/officeDocument/2006/relationships/hyperlink" Target="https://yakeey.com/fr-ma/achat/biens/184844" TargetMode="External" Id="rId431"/><Relationship Type="http://schemas.openxmlformats.org/officeDocument/2006/relationships/hyperlink" Target="https://yakeey.com/fr-ma/achat/biens/184882" TargetMode="External" Id="rId432"/><Relationship Type="http://schemas.openxmlformats.org/officeDocument/2006/relationships/hyperlink" Target="https://yakeey.com/fr-ma/achat/biens/185145" TargetMode="External" Id="rId433"/><Relationship Type="http://schemas.openxmlformats.org/officeDocument/2006/relationships/hyperlink" Target="https://yakeey.com/fr-ma/achat/biens/185234" TargetMode="External" Id="rId434"/><Relationship Type="http://schemas.openxmlformats.org/officeDocument/2006/relationships/hyperlink" Target="https://yakeey.com/fr-ma/achat/biens/185317" TargetMode="External" Id="rId435"/><Relationship Type="http://schemas.openxmlformats.org/officeDocument/2006/relationships/hyperlink" Target="https://yakeey.com/fr-ma/achat/biens/185366" TargetMode="External" Id="rId436"/><Relationship Type="http://schemas.openxmlformats.org/officeDocument/2006/relationships/hyperlink" Target="https://yakeey.com/fr-ma/achat/biens/185371" TargetMode="External" Id="rId437"/><Relationship Type="http://schemas.openxmlformats.org/officeDocument/2006/relationships/hyperlink" Target="https://yakeey.com/fr-ma/achat/biens/185417" TargetMode="External" Id="rId438"/><Relationship Type="http://schemas.openxmlformats.org/officeDocument/2006/relationships/hyperlink" Target="https://yakeey.com/fr-ma/achat/biens/185506" TargetMode="External" Id="rId439"/><Relationship Type="http://schemas.openxmlformats.org/officeDocument/2006/relationships/hyperlink" Target="https://yakeey.com/fr-ma/achat/biens/185565" TargetMode="External" Id="rId440"/><Relationship Type="http://schemas.openxmlformats.org/officeDocument/2006/relationships/hyperlink" Target="https://yakeey.com/fr-ma/achat/biens/185628" TargetMode="External" Id="rId441"/><Relationship Type="http://schemas.openxmlformats.org/officeDocument/2006/relationships/hyperlink" Target="https://yakeey.com/fr-ma/achat/biens/185668" TargetMode="External" Id="rId442"/><Relationship Type="http://schemas.openxmlformats.org/officeDocument/2006/relationships/hyperlink" Target="https://yakeey.com/fr-ma/achat/biens/185814" TargetMode="External" Id="rId443"/><Relationship Type="http://schemas.openxmlformats.org/officeDocument/2006/relationships/hyperlink" Target="https://yakeey.com/fr-ma/achat/biens/185903" TargetMode="External" Id="rId444"/><Relationship Type="http://schemas.openxmlformats.org/officeDocument/2006/relationships/hyperlink" Target="https://yakeey.com/fr-ma/achat/biens/186015" TargetMode="External" Id="rId445"/><Relationship Type="http://schemas.openxmlformats.org/officeDocument/2006/relationships/hyperlink" Target="https://yakeey.com/fr-ma/achat/biens/186072" TargetMode="External" Id="rId446"/><Relationship Type="http://schemas.openxmlformats.org/officeDocument/2006/relationships/hyperlink" Target="https://yakeey.com/fr-ma/achat/biens/186185" TargetMode="External" Id="rId447"/><Relationship Type="http://schemas.openxmlformats.org/officeDocument/2006/relationships/hyperlink" Target="https://yakeey.com/fr-ma/achat/biens/186219" TargetMode="External" Id="rId448"/><Relationship Type="http://schemas.openxmlformats.org/officeDocument/2006/relationships/hyperlink" Target="https://yakeey.com/fr-ma/achat/biens/186477" TargetMode="External" Id="rId449"/><Relationship Type="http://schemas.openxmlformats.org/officeDocument/2006/relationships/hyperlink" Target="https://yakeey.com/fr-ma/achat/biens/186491" TargetMode="External" Id="rId450"/><Relationship Type="http://schemas.openxmlformats.org/officeDocument/2006/relationships/hyperlink" Target="https://yakeey.com/fr-ma/achat/biens/186697" TargetMode="External" Id="rId451"/><Relationship Type="http://schemas.openxmlformats.org/officeDocument/2006/relationships/hyperlink" Target="https://yakeey.com/fr-ma/achat/biens/186909" TargetMode="External" Id="rId452"/><Relationship Type="http://schemas.openxmlformats.org/officeDocument/2006/relationships/hyperlink" Target="https://yakeey.com/fr-ma/achat/biens/187032" TargetMode="External" Id="rId453"/><Relationship Type="http://schemas.openxmlformats.org/officeDocument/2006/relationships/hyperlink" Target="https://yakeey.com/fr-ma/achat/biens/187035" TargetMode="External" Id="rId454"/><Relationship Type="http://schemas.openxmlformats.org/officeDocument/2006/relationships/hyperlink" Target="https://yakeey.com/fr-ma/achat/biens/187077" TargetMode="External" Id="rId455"/><Relationship Type="http://schemas.openxmlformats.org/officeDocument/2006/relationships/hyperlink" Target="https://yakeey.com/fr-ma/achat/biens/187111" TargetMode="External" Id="rId456"/><Relationship Type="http://schemas.openxmlformats.org/officeDocument/2006/relationships/hyperlink" Target="https://yakeey.com/fr-ma/achat/biens/187116" TargetMode="External" Id="rId457"/><Relationship Type="http://schemas.openxmlformats.org/officeDocument/2006/relationships/hyperlink" Target="https://yakeey.com/fr-ma/achat/biens/187119" TargetMode="External" Id="rId458"/><Relationship Type="http://schemas.openxmlformats.org/officeDocument/2006/relationships/hyperlink" Target="https://yakeey.com/fr-ma/achat/biens/187160" TargetMode="External" Id="rId459"/><Relationship Type="http://schemas.openxmlformats.org/officeDocument/2006/relationships/hyperlink" Target="https://yakeey.com/fr-ma/achat/biens/187212" TargetMode="External" Id="rId460"/><Relationship Type="http://schemas.openxmlformats.org/officeDocument/2006/relationships/hyperlink" Target="https://yakeey.com/fr-ma/achat/biens/187588" TargetMode="External" Id="rId461"/><Relationship Type="http://schemas.openxmlformats.org/officeDocument/2006/relationships/hyperlink" Target="https://yakeey.com/fr-ma/achat/biens/187680" TargetMode="External" Id="rId462"/><Relationship Type="http://schemas.openxmlformats.org/officeDocument/2006/relationships/hyperlink" Target="https://yakeey.com/fr-ma/achat/biens/187744" TargetMode="External" Id="rId463"/><Relationship Type="http://schemas.openxmlformats.org/officeDocument/2006/relationships/hyperlink" Target="https://yakeey.com/fr-ma/achat/biens/187921" TargetMode="External" Id="rId464"/><Relationship Type="http://schemas.openxmlformats.org/officeDocument/2006/relationships/hyperlink" Target="https://yakeey.com/fr-ma/achat/biens/187959" TargetMode="External" Id="rId465"/><Relationship Type="http://schemas.openxmlformats.org/officeDocument/2006/relationships/hyperlink" Target="https://yakeey.com/fr-ma/achat/biens/187991" TargetMode="External" Id="rId466"/><Relationship Type="http://schemas.openxmlformats.org/officeDocument/2006/relationships/hyperlink" Target="https://yakeey.com/fr-ma/achat/biens/188087" TargetMode="External" Id="rId467"/><Relationship Type="http://schemas.openxmlformats.org/officeDocument/2006/relationships/hyperlink" Target="https://yakeey.com/fr-ma/achat/biens/188146" TargetMode="External" Id="rId468"/><Relationship Type="http://schemas.openxmlformats.org/officeDocument/2006/relationships/hyperlink" Target="https://yakeey.com/fr-ma/achat/biens/188172" TargetMode="External" Id="rId469"/><Relationship Type="http://schemas.openxmlformats.org/officeDocument/2006/relationships/hyperlink" Target="https://yakeey.com/fr-ma/achat/biens/188274" TargetMode="External" Id="rId470"/><Relationship Type="http://schemas.openxmlformats.org/officeDocument/2006/relationships/hyperlink" Target="https://yakeey.com/fr-ma/achat/biens/188350" TargetMode="External" Id="rId471"/><Relationship Type="http://schemas.openxmlformats.org/officeDocument/2006/relationships/hyperlink" Target="https://yakeey.com/fr-ma/achat/biens/188603" TargetMode="External" Id="rId472"/><Relationship Type="http://schemas.openxmlformats.org/officeDocument/2006/relationships/hyperlink" Target="https://yakeey.com/fr-ma/achat/biens/188933" TargetMode="External" Id="rId473"/><Relationship Type="http://schemas.openxmlformats.org/officeDocument/2006/relationships/hyperlink" Target="https://yakeey.com/fr-ma/achat/biens/188986" TargetMode="External" Id="rId474"/><Relationship Type="http://schemas.openxmlformats.org/officeDocument/2006/relationships/hyperlink" Target="https://yakeey.com/fr-ma/achat/biens/189200" TargetMode="External" Id="rId475"/><Relationship Type="http://schemas.openxmlformats.org/officeDocument/2006/relationships/hyperlink" Target="https://yakeey.com/fr-ma/achat/biens/189402" TargetMode="External" Id="rId476"/><Relationship Type="http://schemas.openxmlformats.org/officeDocument/2006/relationships/hyperlink" Target="https://yakeey.com/fr-ma/achat/biens/189406" TargetMode="External" Id="rId477"/><Relationship Type="http://schemas.openxmlformats.org/officeDocument/2006/relationships/hyperlink" Target="https://yakeey.com/fr-ma/achat/biens/189745" TargetMode="External" Id="rId478"/><Relationship Type="http://schemas.openxmlformats.org/officeDocument/2006/relationships/hyperlink" Target="https://yakeey.com/fr-ma/achat/biens/189752" TargetMode="External" Id="rId479"/><Relationship Type="http://schemas.openxmlformats.org/officeDocument/2006/relationships/hyperlink" Target="https://yakeey.com/fr-ma/achat/biens/189767" TargetMode="External" Id="rId480"/><Relationship Type="http://schemas.openxmlformats.org/officeDocument/2006/relationships/hyperlink" Target="https://yakeey.com/fr-ma/achat/biens/189977" TargetMode="External" Id="rId481"/><Relationship Type="http://schemas.openxmlformats.org/officeDocument/2006/relationships/hyperlink" Target="https://yakeey.com/fr-ma/achat/biens/19098" TargetMode="External" Id="rId482"/><Relationship Type="http://schemas.openxmlformats.org/officeDocument/2006/relationships/hyperlink" Target="https://yakeey.com/fr-ma/achat/biens/2002" TargetMode="External" Id="rId483"/><Relationship Type="http://schemas.openxmlformats.org/officeDocument/2006/relationships/hyperlink" Target="https://yakeey.com/fr-ma/achat/biens/21204" TargetMode="External" Id="rId484"/><Relationship Type="http://schemas.openxmlformats.org/officeDocument/2006/relationships/hyperlink" Target="https://yakeey.com/fr-ma/achat/biens/21213" TargetMode="External" Id="rId485"/><Relationship Type="http://schemas.openxmlformats.org/officeDocument/2006/relationships/hyperlink" Target="https://yakeey.com/fr-ma/achat/biens/21226" TargetMode="External" Id="rId486"/><Relationship Type="http://schemas.openxmlformats.org/officeDocument/2006/relationships/hyperlink" Target="https://yakeey.com/fr-ma/achat/biens/21592" TargetMode="External" Id="rId487"/><Relationship Type="http://schemas.openxmlformats.org/officeDocument/2006/relationships/hyperlink" Target="https://yakeey.com/fr-ma/achat/biens/22173" TargetMode="External" Id="rId488"/><Relationship Type="http://schemas.openxmlformats.org/officeDocument/2006/relationships/hyperlink" Target="https://yakeey.com/fr-ma/achat/biens/22175" TargetMode="External" Id="rId489"/><Relationship Type="http://schemas.openxmlformats.org/officeDocument/2006/relationships/hyperlink" Target="https://yakeey.com/fr-ma/achat/biens/22755" TargetMode="External" Id="rId490"/><Relationship Type="http://schemas.openxmlformats.org/officeDocument/2006/relationships/hyperlink" Target="https://yakeey.com/fr-ma/achat/biens/23329" TargetMode="External" Id="rId491"/><Relationship Type="http://schemas.openxmlformats.org/officeDocument/2006/relationships/hyperlink" Target="https://yakeey.com/fr-ma/achat/biens/23390" TargetMode="External" Id="rId492"/><Relationship Type="http://schemas.openxmlformats.org/officeDocument/2006/relationships/hyperlink" Target="https://yakeey.com/fr-ma/achat/biens/23617" TargetMode="External" Id="rId493"/><Relationship Type="http://schemas.openxmlformats.org/officeDocument/2006/relationships/hyperlink" Target="https://yakeey.com/fr-ma/achat/biens/23649" TargetMode="External" Id="rId494"/><Relationship Type="http://schemas.openxmlformats.org/officeDocument/2006/relationships/hyperlink" Target="https://yakeey.com/fr-ma/achat/biens/23712" TargetMode="External" Id="rId495"/><Relationship Type="http://schemas.openxmlformats.org/officeDocument/2006/relationships/hyperlink" Target="https://yakeey.com/fr-ma/achat/biens/23984" TargetMode="External" Id="rId496"/><Relationship Type="http://schemas.openxmlformats.org/officeDocument/2006/relationships/hyperlink" Target="https://yakeey.com/fr-ma/achat/biens/24593" TargetMode="External" Id="rId497"/><Relationship Type="http://schemas.openxmlformats.org/officeDocument/2006/relationships/hyperlink" Target="https://yakeey.com/fr-ma/achat/biens/2544" TargetMode="External" Id="rId498"/><Relationship Type="http://schemas.openxmlformats.org/officeDocument/2006/relationships/hyperlink" Target="https://yakeey.com/fr-ma/achat/biens/25441" TargetMode="External" Id="rId499"/><Relationship Type="http://schemas.openxmlformats.org/officeDocument/2006/relationships/hyperlink" Target="https://yakeey.com/fr-ma/achat/biens/25451" TargetMode="External" Id="rId500"/><Relationship Type="http://schemas.openxmlformats.org/officeDocument/2006/relationships/hyperlink" Target="https://yakeey.com/fr-ma/achat/biens/2604" TargetMode="External" Id="rId501"/><Relationship Type="http://schemas.openxmlformats.org/officeDocument/2006/relationships/hyperlink" Target="https://yakeey.com/fr-ma/achat/biens/2607" TargetMode="External" Id="rId502"/><Relationship Type="http://schemas.openxmlformats.org/officeDocument/2006/relationships/hyperlink" Target="https://yakeey.com/fr-ma/achat/biens/26134" TargetMode="External" Id="rId503"/><Relationship Type="http://schemas.openxmlformats.org/officeDocument/2006/relationships/hyperlink" Target="https://yakeey.com/fr-ma/achat/biens/26172" TargetMode="External" Id="rId504"/><Relationship Type="http://schemas.openxmlformats.org/officeDocument/2006/relationships/hyperlink" Target="https://yakeey.com/fr-ma/achat/biens/26420" TargetMode="External" Id="rId505"/><Relationship Type="http://schemas.openxmlformats.org/officeDocument/2006/relationships/hyperlink" Target="https://yakeey.com/fr-ma/achat/biens/26532" TargetMode="External" Id="rId506"/><Relationship Type="http://schemas.openxmlformats.org/officeDocument/2006/relationships/hyperlink" Target="https://yakeey.com/fr-ma/achat/biens/27358" TargetMode="External" Id="rId507"/><Relationship Type="http://schemas.openxmlformats.org/officeDocument/2006/relationships/hyperlink" Target="https://yakeey.com/fr-ma/achat/biens/27779" TargetMode="External" Id="rId508"/><Relationship Type="http://schemas.openxmlformats.org/officeDocument/2006/relationships/hyperlink" Target="https://yakeey.com/fr-ma/achat/biens/27815" TargetMode="External" Id="rId509"/><Relationship Type="http://schemas.openxmlformats.org/officeDocument/2006/relationships/hyperlink" Target="https://yakeey.com/fr-ma/achat/biens/2956" TargetMode="External" Id="rId510"/><Relationship Type="http://schemas.openxmlformats.org/officeDocument/2006/relationships/hyperlink" Target="https://yakeey.com/fr-ma/achat/biens/29738" TargetMode="External" Id="rId511"/><Relationship Type="http://schemas.openxmlformats.org/officeDocument/2006/relationships/hyperlink" Target="https://yakeey.com/fr-ma/achat/biens/29739" TargetMode="External" Id="rId512"/><Relationship Type="http://schemas.openxmlformats.org/officeDocument/2006/relationships/hyperlink" Target="https://yakeey.com/fr-ma/achat/biens/29792" TargetMode="External" Id="rId513"/><Relationship Type="http://schemas.openxmlformats.org/officeDocument/2006/relationships/hyperlink" Target="https://yakeey.com/fr-ma/achat/biens/29816" TargetMode="External" Id="rId514"/><Relationship Type="http://schemas.openxmlformats.org/officeDocument/2006/relationships/hyperlink" Target="https://yakeey.com/fr-ma/achat/biens/30013" TargetMode="External" Id="rId515"/><Relationship Type="http://schemas.openxmlformats.org/officeDocument/2006/relationships/hyperlink" Target="https://yakeey.com/fr-ma/achat/biens/30195" TargetMode="External" Id="rId516"/><Relationship Type="http://schemas.openxmlformats.org/officeDocument/2006/relationships/hyperlink" Target="https://yakeey.com/fr-ma/achat/biens/311" TargetMode="External" Id="rId517"/><Relationship Type="http://schemas.openxmlformats.org/officeDocument/2006/relationships/hyperlink" Target="https://yakeey.com/fr-ma/achat/biens/3115" TargetMode="External" Id="rId518"/><Relationship Type="http://schemas.openxmlformats.org/officeDocument/2006/relationships/hyperlink" Target="https://yakeey.com/fr-ma/achat/biens/3124" TargetMode="External" Id="rId519"/><Relationship Type="http://schemas.openxmlformats.org/officeDocument/2006/relationships/hyperlink" Target="https://yakeey.com/fr-ma/achat/biens/31311" TargetMode="External" Id="rId520"/><Relationship Type="http://schemas.openxmlformats.org/officeDocument/2006/relationships/hyperlink" Target="https://yakeey.com/fr-ma/achat/biens/31740" TargetMode="External" Id="rId521"/><Relationship Type="http://schemas.openxmlformats.org/officeDocument/2006/relationships/hyperlink" Target="https://yakeey.com/fr-ma/achat/biens/32537" TargetMode="External" Id="rId522"/><Relationship Type="http://schemas.openxmlformats.org/officeDocument/2006/relationships/hyperlink" Target="https://yakeey.com/fr-ma/achat/biens/32575" TargetMode="External" Id="rId523"/><Relationship Type="http://schemas.openxmlformats.org/officeDocument/2006/relationships/hyperlink" Target="https://yakeey.com/fr-ma/achat/biens/32667" TargetMode="External" Id="rId524"/><Relationship Type="http://schemas.openxmlformats.org/officeDocument/2006/relationships/hyperlink" Target="https://yakeey.com/fr-ma/achat/biens/33040" TargetMode="External" Id="rId525"/><Relationship Type="http://schemas.openxmlformats.org/officeDocument/2006/relationships/hyperlink" Target="https://yakeey.com/fr-ma/achat/biens/33614" TargetMode="External" Id="rId526"/><Relationship Type="http://schemas.openxmlformats.org/officeDocument/2006/relationships/hyperlink" Target="https://yakeey.com/fr-ma/achat/biens/33650" TargetMode="External" Id="rId527"/><Relationship Type="http://schemas.openxmlformats.org/officeDocument/2006/relationships/hyperlink" Target="https://yakeey.com/fr-ma/achat/biens/33878" TargetMode="External" Id="rId528"/><Relationship Type="http://schemas.openxmlformats.org/officeDocument/2006/relationships/hyperlink" Target="https://yakeey.com/fr-ma/achat/biens/34301" TargetMode="External" Id="rId529"/><Relationship Type="http://schemas.openxmlformats.org/officeDocument/2006/relationships/hyperlink" Target="https://yakeey.com/fr-ma/achat/biens/34542" TargetMode="External" Id="rId530"/><Relationship Type="http://schemas.openxmlformats.org/officeDocument/2006/relationships/hyperlink" Target="https://yakeey.com/fr-ma/achat/biens/34634" TargetMode="External" Id="rId531"/><Relationship Type="http://schemas.openxmlformats.org/officeDocument/2006/relationships/hyperlink" Target="https://yakeey.com/fr-ma/achat/biens/34667" TargetMode="External" Id="rId532"/><Relationship Type="http://schemas.openxmlformats.org/officeDocument/2006/relationships/hyperlink" Target="https://yakeey.com/fr-ma/achat/biens/34676" TargetMode="External" Id="rId533"/><Relationship Type="http://schemas.openxmlformats.org/officeDocument/2006/relationships/hyperlink" Target="https://yakeey.com/fr-ma/achat/biens/34706" TargetMode="External" Id="rId534"/><Relationship Type="http://schemas.openxmlformats.org/officeDocument/2006/relationships/hyperlink" Target="https://yakeey.com/fr-ma/achat/biens/34799" TargetMode="External" Id="rId535"/><Relationship Type="http://schemas.openxmlformats.org/officeDocument/2006/relationships/hyperlink" Target="https://yakeey.com/fr-ma/achat/biens/34803" TargetMode="External" Id="rId536"/><Relationship Type="http://schemas.openxmlformats.org/officeDocument/2006/relationships/hyperlink" Target="https://yakeey.com/fr-ma/achat/biens/34945" TargetMode="External" Id="rId537"/><Relationship Type="http://schemas.openxmlformats.org/officeDocument/2006/relationships/hyperlink" Target="https://yakeey.com/fr-ma/achat/biens/35179" TargetMode="External" Id="rId538"/><Relationship Type="http://schemas.openxmlformats.org/officeDocument/2006/relationships/hyperlink" Target="https://yakeey.com/fr-ma/achat/biens/35560" TargetMode="External" Id="rId539"/><Relationship Type="http://schemas.openxmlformats.org/officeDocument/2006/relationships/hyperlink" Target="https://yakeey.com/fr-ma/achat/biens/3627" TargetMode="External" Id="rId540"/><Relationship Type="http://schemas.openxmlformats.org/officeDocument/2006/relationships/hyperlink" Target="https://yakeey.com/fr-ma/achat/biens/3628" TargetMode="External" Id="rId541"/><Relationship Type="http://schemas.openxmlformats.org/officeDocument/2006/relationships/hyperlink" Target="https://yakeey.com/fr-ma/achat/biens/3696" TargetMode="External" Id="rId542"/><Relationship Type="http://schemas.openxmlformats.org/officeDocument/2006/relationships/hyperlink" Target="https://yakeey.com/fr-ma/achat/biens/37069" TargetMode="External" Id="rId543"/><Relationship Type="http://schemas.openxmlformats.org/officeDocument/2006/relationships/hyperlink" Target="https://yakeey.com/fr-ma/achat/biens/37321" TargetMode="External" Id="rId544"/><Relationship Type="http://schemas.openxmlformats.org/officeDocument/2006/relationships/hyperlink" Target="https://yakeey.com/fr-ma/achat/biens/37746" TargetMode="External" Id="rId545"/><Relationship Type="http://schemas.openxmlformats.org/officeDocument/2006/relationships/hyperlink" Target="https://yakeey.com/fr-ma/achat/biens/37917" TargetMode="External" Id="rId546"/><Relationship Type="http://schemas.openxmlformats.org/officeDocument/2006/relationships/hyperlink" Target="https://yakeey.com/fr-ma/achat/biens/38282" TargetMode="External" Id="rId547"/><Relationship Type="http://schemas.openxmlformats.org/officeDocument/2006/relationships/hyperlink" Target="https://yakeey.com/fr-ma/achat/biens/38796" TargetMode="External" Id="rId548"/><Relationship Type="http://schemas.openxmlformats.org/officeDocument/2006/relationships/hyperlink" Target="https://yakeey.com/fr-ma/achat/biens/3904" TargetMode="External" Id="rId549"/><Relationship Type="http://schemas.openxmlformats.org/officeDocument/2006/relationships/hyperlink" Target="https://yakeey.com/fr-ma/achat/biens/39281" TargetMode="External" Id="rId550"/><Relationship Type="http://schemas.openxmlformats.org/officeDocument/2006/relationships/hyperlink" Target="https://yakeey.com/fr-ma/achat/biens/40378" TargetMode="External" Id="rId551"/><Relationship Type="http://schemas.openxmlformats.org/officeDocument/2006/relationships/hyperlink" Target="https://yakeey.com/fr-ma/achat/biens/40414" TargetMode="External" Id="rId552"/><Relationship Type="http://schemas.openxmlformats.org/officeDocument/2006/relationships/hyperlink" Target="https://yakeey.com/fr-ma/achat/biens/40487" TargetMode="External" Id="rId553"/><Relationship Type="http://schemas.openxmlformats.org/officeDocument/2006/relationships/hyperlink" Target="https://yakeey.com/fr-ma/achat/biens/40665" TargetMode="External" Id="rId554"/><Relationship Type="http://schemas.openxmlformats.org/officeDocument/2006/relationships/hyperlink" Target="https://yakeey.com/fr-ma/achat/biens/40693" TargetMode="External" Id="rId555"/><Relationship Type="http://schemas.openxmlformats.org/officeDocument/2006/relationships/hyperlink" Target="https://yakeey.com/fr-ma/achat/biens/41466" TargetMode="External" Id="rId556"/><Relationship Type="http://schemas.openxmlformats.org/officeDocument/2006/relationships/hyperlink" Target="https://yakeey.com/fr-ma/achat/biens/41492" TargetMode="External" Id="rId557"/><Relationship Type="http://schemas.openxmlformats.org/officeDocument/2006/relationships/hyperlink" Target="https://yakeey.com/fr-ma/achat/biens/43052" TargetMode="External" Id="rId558"/><Relationship Type="http://schemas.openxmlformats.org/officeDocument/2006/relationships/hyperlink" Target="https://yakeey.com/fr-ma/achat/biens/43346" TargetMode="External" Id="rId559"/><Relationship Type="http://schemas.openxmlformats.org/officeDocument/2006/relationships/hyperlink" Target="https://yakeey.com/fr-ma/achat/biens/43458" TargetMode="External" Id="rId560"/><Relationship Type="http://schemas.openxmlformats.org/officeDocument/2006/relationships/hyperlink" Target="https://yakeey.com/fr-ma/achat/biens/44848" TargetMode="External" Id="rId561"/><Relationship Type="http://schemas.openxmlformats.org/officeDocument/2006/relationships/hyperlink" Target="https://yakeey.com/fr-ma/achat/biens/45055" TargetMode="External" Id="rId562"/><Relationship Type="http://schemas.openxmlformats.org/officeDocument/2006/relationships/hyperlink" Target="https://yakeey.com/fr-ma/achat/biens/45302" TargetMode="External" Id="rId563"/><Relationship Type="http://schemas.openxmlformats.org/officeDocument/2006/relationships/hyperlink" Target="https://yakeey.com/fr-ma/achat/biens/45418" TargetMode="External" Id="rId564"/><Relationship Type="http://schemas.openxmlformats.org/officeDocument/2006/relationships/hyperlink" Target="https://yakeey.com/fr-ma/achat/biens/45428" TargetMode="External" Id="rId565"/><Relationship Type="http://schemas.openxmlformats.org/officeDocument/2006/relationships/hyperlink" Target="https://yakeey.com/fr-ma/achat/biens/45925" TargetMode="External" Id="rId566"/><Relationship Type="http://schemas.openxmlformats.org/officeDocument/2006/relationships/hyperlink" Target="https://yakeey.com/fr-ma/achat/biens/46645" TargetMode="External" Id="rId567"/><Relationship Type="http://schemas.openxmlformats.org/officeDocument/2006/relationships/hyperlink" Target="https://yakeey.com/fr-ma/achat/biens/46785" TargetMode="External" Id="rId568"/><Relationship Type="http://schemas.openxmlformats.org/officeDocument/2006/relationships/hyperlink" Target="https://yakeey.com/fr-ma/achat/biens/46788" TargetMode="External" Id="rId569"/><Relationship Type="http://schemas.openxmlformats.org/officeDocument/2006/relationships/hyperlink" Target="https://yakeey.com/fr-ma/achat/biens/47096" TargetMode="External" Id="rId570"/><Relationship Type="http://schemas.openxmlformats.org/officeDocument/2006/relationships/hyperlink" Target="https://yakeey.com/fr-ma/achat/biens/47118" TargetMode="External" Id="rId571"/><Relationship Type="http://schemas.openxmlformats.org/officeDocument/2006/relationships/hyperlink" Target="https://yakeey.com/fr-ma/achat/biens/47448" TargetMode="External" Id="rId572"/><Relationship Type="http://schemas.openxmlformats.org/officeDocument/2006/relationships/hyperlink" Target="https://yakeey.com/fr-ma/achat/biens/47564" TargetMode="External" Id="rId573"/><Relationship Type="http://schemas.openxmlformats.org/officeDocument/2006/relationships/hyperlink" Target="https://yakeey.com/fr-ma/achat/biens/47620" TargetMode="External" Id="rId574"/><Relationship Type="http://schemas.openxmlformats.org/officeDocument/2006/relationships/hyperlink" Target="https://yakeey.com/fr-ma/achat/biens/47779" TargetMode="External" Id="rId575"/><Relationship Type="http://schemas.openxmlformats.org/officeDocument/2006/relationships/hyperlink" Target="https://yakeey.com/fr-ma/achat/biens/47964" TargetMode="External" Id="rId576"/><Relationship Type="http://schemas.openxmlformats.org/officeDocument/2006/relationships/hyperlink" Target="https://yakeey.com/fr-ma/achat/biens/48159" TargetMode="External" Id="rId577"/><Relationship Type="http://schemas.openxmlformats.org/officeDocument/2006/relationships/hyperlink" Target="https://yakeey.com/fr-ma/achat/biens/48168" TargetMode="External" Id="rId578"/><Relationship Type="http://schemas.openxmlformats.org/officeDocument/2006/relationships/hyperlink" Target="https://yakeey.com/fr-ma/achat/biens/4818" TargetMode="External" Id="rId579"/><Relationship Type="http://schemas.openxmlformats.org/officeDocument/2006/relationships/hyperlink" Target="https://yakeey.com/fr-ma/achat/biens/4842" TargetMode="External" Id="rId580"/><Relationship Type="http://schemas.openxmlformats.org/officeDocument/2006/relationships/hyperlink" Target="https://yakeey.com/fr-ma/achat/biens/48441" TargetMode="External" Id="rId581"/><Relationship Type="http://schemas.openxmlformats.org/officeDocument/2006/relationships/hyperlink" Target="https://yakeey.com/fr-ma/achat/biens/48498" TargetMode="External" Id="rId582"/><Relationship Type="http://schemas.openxmlformats.org/officeDocument/2006/relationships/hyperlink" Target="https://yakeey.com/fr-ma/achat/biens/48618" TargetMode="External" Id="rId583"/><Relationship Type="http://schemas.openxmlformats.org/officeDocument/2006/relationships/hyperlink" Target="https://yakeey.com/fr-ma/achat/biens/48627" TargetMode="External" Id="rId584"/><Relationship Type="http://schemas.openxmlformats.org/officeDocument/2006/relationships/hyperlink" Target="https://yakeey.com/fr-ma/achat/biens/49086" TargetMode="External" Id="rId585"/><Relationship Type="http://schemas.openxmlformats.org/officeDocument/2006/relationships/hyperlink" Target="https://yakeey.com/fr-ma/achat/biens/49196" TargetMode="External" Id="rId586"/><Relationship Type="http://schemas.openxmlformats.org/officeDocument/2006/relationships/hyperlink" Target="https://yakeey.com/fr-ma/achat/biens/49457" TargetMode="External" Id="rId587"/><Relationship Type="http://schemas.openxmlformats.org/officeDocument/2006/relationships/hyperlink" Target="https://yakeey.com/fr-ma/achat/biens/49700" TargetMode="External" Id="rId588"/><Relationship Type="http://schemas.openxmlformats.org/officeDocument/2006/relationships/hyperlink" Target="https://yakeey.com/fr-ma/achat/biens/50546" TargetMode="External" Id="rId589"/><Relationship Type="http://schemas.openxmlformats.org/officeDocument/2006/relationships/hyperlink" Target="https://yakeey.com/fr-ma/achat/biens/50620" TargetMode="External" Id="rId590"/><Relationship Type="http://schemas.openxmlformats.org/officeDocument/2006/relationships/hyperlink" Target="https://yakeey.com/fr-ma/achat/biens/50662" TargetMode="External" Id="rId591"/><Relationship Type="http://schemas.openxmlformats.org/officeDocument/2006/relationships/hyperlink" Target="https://yakeey.com/fr-ma/achat/biens/50781" TargetMode="External" Id="rId592"/><Relationship Type="http://schemas.openxmlformats.org/officeDocument/2006/relationships/hyperlink" Target="https://yakeey.com/fr-ma/achat/biens/50805" TargetMode="External" Id="rId593"/><Relationship Type="http://schemas.openxmlformats.org/officeDocument/2006/relationships/hyperlink" Target="https://yakeey.com/fr-ma/achat/biens/50924" TargetMode="External" Id="rId594"/><Relationship Type="http://schemas.openxmlformats.org/officeDocument/2006/relationships/hyperlink" Target="https://yakeey.com/fr-ma/achat/biens/5097" TargetMode="External" Id="rId595"/><Relationship Type="http://schemas.openxmlformats.org/officeDocument/2006/relationships/hyperlink" Target="https://yakeey.com/fr-ma/achat/biens/5099" TargetMode="External" Id="rId596"/><Relationship Type="http://schemas.openxmlformats.org/officeDocument/2006/relationships/hyperlink" Target="https://yakeey.com/fr-ma/achat/biens/51009" TargetMode="External" Id="rId597"/><Relationship Type="http://schemas.openxmlformats.org/officeDocument/2006/relationships/hyperlink" Target="https://yakeey.com/fr-ma/achat/biens/51048" TargetMode="External" Id="rId598"/><Relationship Type="http://schemas.openxmlformats.org/officeDocument/2006/relationships/hyperlink" Target="https://yakeey.com/fr-ma/achat/biens/52451" TargetMode="External" Id="rId599"/><Relationship Type="http://schemas.openxmlformats.org/officeDocument/2006/relationships/hyperlink" Target="https://yakeey.com/fr-ma/achat/biens/52957" TargetMode="External" Id="rId600"/><Relationship Type="http://schemas.openxmlformats.org/officeDocument/2006/relationships/hyperlink" Target="https://yakeey.com/fr-ma/achat/biens/53185" TargetMode="External" Id="rId601"/><Relationship Type="http://schemas.openxmlformats.org/officeDocument/2006/relationships/hyperlink" Target="https://yakeey.com/fr-ma/achat/biens/53818" TargetMode="External" Id="rId602"/><Relationship Type="http://schemas.openxmlformats.org/officeDocument/2006/relationships/hyperlink" Target="https://yakeey.com/fr-ma/achat/biens/53962" TargetMode="External" Id="rId603"/><Relationship Type="http://schemas.openxmlformats.org/officeDocument/2006/relationships/hyperlink" Target="https://yakeey.com/fr-ma/achat/biens/54318" TargetMode="External" Id="rId604"/><Relationship Type="http://schemas.openxmlformats.org/officeDocument/2006/relationships/hyperlink" Target="https://yakeey.com/fr-ma/achat/biens/54727" TargetMode="External" Id="rId605"/><Relationship Type="http://schemas.openxmlformats.org/officeDocument/2006/relationships/hyperlink" Target="https://yakeey.com/fr-ma/achat/biens/54852" TargetMode="External" Id="rId606"/><Relationship Type="http://schemas.openxmlformats.org/officeDocument/2006/relationships/hyperlink" Target="https://yakeey.com/fr-ma/achat/biens/55018" TargetMode="External" Id="rId607"/><Relationship Type="http://schemas.openxmlformats.org/officeDocument/2006/relationships/hyperlink" Target="https://yakeey.com/fr-ma/achat/biens/55153" TargetMode="External" Id="rId608"/><Relationship Type="http://schemas.openxmlformats.org/officeDocument/2006/relationships/hyperlink" Target="https://yakeey.com/fr-ma/achat/biens/55157" TargetMode="External" Id="rId609"/><Relationship Type="http://schemas.openxmlformats.org/officeDocument/2006/relationships/hyperlink" Target="https://yakeey.com/fr-ma/achat/biens/55955" TargetMode="External" Id="rId610"/><Relationship Type="http://schemas.openxmlformats.org/officeDocument/2006/relationships/hyperlink" Target="https://yakeey.com/fr-ma/achat/biens/56020" TargetMode="External" Id="rId611"/><Relationship Type="http://schemas.openxmlformats.org/officeDocument/2006/relationships/hyperlink" Target="https://yakeey.com/fr-ma/achat/biens/56298" TargetMode="External" Id="rId612"/><Relationship Type="http://schemas.openxmlformats.org/officeDocument/2006/relationships/hyperlink" Target="https://yakeey.com/fr-ma/achat/biens/57463" TargetMode="External" Id="rId613"/><Relationship Type="http://schemas.openxmlformats.org/officeDocument/2006/relationships/hyperlink" Target="https://yakeey.com/fr-ma/achat/biens/57563" TargetMode="External" Id="rId614"/><Relationship Type="http://schemas.openxmlformats.org/officeDocument/2006/relationships/hyperlink" Target="https://yakeey.com/fr-ma/achat/biens/57677" TargetMode="External" Id="rId615"/><Relationship Type="http://schemas.openxmlformats.org/officeDocument/2006/relationships/hyperlink" Target="https://yakeey.com/fr-ma/achat/biens/57857" TargetMode="External" Id="rId616"/><Relationship Type="http://schemas.openxmlformats.org/officeDocument/2006/relationships/hyperlink" Target="https://yakeey.com/fr-ma/achat/biens/57963" TargetMode="External" Id="rId617"/><Relationship Type="http://schemas.openxmlformats.org/officeDocument/2006/relationships/hyperlink" Target="https://yakeey.com/fr-ma/achat/biens/58122" TargetMode="External" Id="rId618"/><Relationship Type="http://schemas.openxmlformats.org/officeDocument/2006/relationships/hyperlink" Target="https://yakeey.com/fr-ma/achat/biens/58156" TargetMode="External" Id="rId619"/><Relationship Type="http://schemas.openxmlformats.org/officeDocument/2006/relationships/hyperlink" Target="https://yakeey.com/fr-ma/achat/biens/58867" TargetMode="External" Id="rId620"/><Relationship Type="http://schemas.openxmlformats.org/officeDocument/2006/relationships/hyperlink" Target="https://yakeey.com/fr-ma/achat/biens/58918" TargetMode="External" Id="rId621"/><Relationship Type="http://schemas.openxmlformats.org/officeDocument/2006/relationships/hyperlink" Target="https://yakeey.com/fr-ma/achat/biens/58992" TargetMode="External" Id="rId622"/><Relationship Type="http://schemas.openxmlformats.org/officeDocument/2006/relationships/hyperlink" Target="https://yakeey.com/fr-ma/achat/biens/59242" TargetMode="External" Id="rId623"/><Relationship Type="http://schemas.openxmlformats.org/officeDocument/2006/relationships/hyperlink" Target="https://yakeey.com/fr-ma/achat/biens/5934" TargetMode="External" Id="rId624"/><Relationship Type="http://schemas.openxmlformats.org/officeDocument/2006/relationships/hyperlink" Target="https://yakeey.com/fr-ma/achat/biens/59493" TargetMode="External" Id="rId625"/><Relationship Type="http://schemas.openxmlformats.org/officeDocument/2006/relationships/hyperlink" Target="https://yakeey.com/fr-ma/achat/biens/59682" TargetMode="External" Id="rId626"/><Relationship Type="http://schemas.openxmlformats.org/officeDocument/2006/relationships/hyperlink" Target="https://yakeey.com/fr-ma/achat/biens/5986" TargetMode="External" Id="rId627"/><Relationship Type="http://schemas.openxmlformats.org/officeDocument/2006/relationships/hyperlink" Target="https://yakeey.com/fr-ma/achat/biens/6006" TargetMode="External" Id="rId628"/><Relationship Type="http://schemas.openxmlformats.org/officeDocument/2006/relationships/hyperlink" Target="https://yakeey.com/fr-ma/achat/biens/60078" TargetMode="External" Id="rId629"/><Relationship Type="http://schemas.openxmlformats.org/officeDocument/2006/relationships/hyperlink" Target="https://yakeey.com/fr-ma/achat/biens/60449" TargetMode="External" Id="rId630"/><Relationship Type="http://schemas.openxmlformats.org/officeDocument/2006/relationships/hyperlink" Target="https://yakeey.com/fr-ma/achat/biens/60520" TargetMode="External" Id="rId631"/><Relationship Type="http://schemas.openxmlformats.org/officeDocument/2006/relationships/hyperlink" Target="https://yakeey.com/fr-ma/achat/biens/60522" TargetMode="External" Id="rId632"/><Relationship Type="http://schemas.openxmlformats.org/officeDocument/2006/relationships/hyperlink" Target="https://yakeey.com/fr-ma/achat/biens/60523" TargetMode="External" Id="rId633"/><Relationship Type="http://schemas.openxmlformats.org/officeDocument/2006/relationships/hyperlink" Target="https://yakeey.com/fr-ma/achat/biens/60525" TargetMode="External" Id="rId634"/><Relationship Type="http://schemas.openxmlformats.org/officeDocument/2006/relationships/hyperlink" Target="https://yakeey.com/fr-ma/achat/biens/6067" TargetMode="External" Id="rId635"/><Relationship Type="http://schemas.openxmlformats.org/officeDocument/2006/relationships/hyperlink" Target="https://yakeey.com/fr-ma/achat/biens/6070" TargetMode="External" Id="rId636"/><Relationship Type="http://schemas.openxmlformats.org/officeDocument/2006/relationships/hyperlink" Target="https://yakeey.com/fr-ma/achat/biens/6075" TargetMode="External" Id="rId637"/><Relationship Type="http://schemas.openxmlformats.org/officeDocument/2006/relationships/hyperlink" Target="https://yakeey.com/fr-ma/achat/biens/61092" TargetMode="External" Id="rId638"/><Relationship Type="http://schemas.openxmlformats.org/officeDocument/2006/relationships/hyperlink" Target="https://yakeey.com/fr-ma/achat/biens/61339" TargetMode="External" Id="rId639"/><Relationship Type="http://schemas.openxmlformats.org/officeDocument/2006/relationships/hyperlink" Target="https://yakeey.com/fr-ma/achat/biens/61544" TargetMode="External" Id="rId640"/><Relationship Type="http://schemas.openxmlformats.org/officeDocument/2006/relationships/hyperlink" Target="https://yakeey.com/fr-ma/achat/biens/61946" TargetMode="External" Id="rId641"/><Relationship Type="http://schemas.openxmlformats.org/officeDocument/2006/relationships/hyperlink" Target="https://yakeey.com/fr-ma/achat/biens/62362" TargetMode="External" Id="rId642"/><Relationship Type="http://schemas.openxmlformats.org/officeDocument/2006/relationships/hyperlink" Target="https://yakeey.com/fr-ma/achat/biens/62733" TargetMode="External" Id="rId643"/><Relationship Type="http://schemas.openxmlformats.org/officeDocument/2006/relationships/hyperlink" Target="https://yakeey.com/fr-ma/achat/biens/63165" TargetMode="External" Id="rId644"/><Relationship Type="http://schemas.openxmlformats.org/officeDocument/2006/relationships/hyperlink" Target="https://yakeey.com/fr-ma/achat/biens/63287" TargetMode="External" Id="rId645"/><Relationship Type="http://schemas.openxmlformats.org/officeDocument/2006/relationships/hyperlink" Target="https://yakeey.com/fr-ma/achat/biens/63295" TargetMode="External" Id="rId646"/><Relationship Type="http://schemas.openxmlformats.org/officeDocument/2006/relationships/hyperlink" Target="https://yakeey.com/fr-ma/achat/biens/63483" TargetMode="External" Id="rId647"/><Relationship Type="http://schemas.openxmlformats.org/officeDocument/2006/relationships/hyperlink" Target="https://yakeey.com/fr-ma/achat/biens/63640" TargetMode="External" Id="rId648"/><Relationship Type="http://schemas.openxmlformats.org/officeDocument/2006/relationships/hyperlink" Target="https://yakeey.com/fr-ma/achat/biens/6375" TargetMode="External" Id="rId649"/><Relationship Type="http://schemas.openxmlformats.org/officeDocument/2006/relationships/hyperlink" Target="https://yakeey.com/fr-ma/achat/biens/63971" TargetMode="External" Id="rId650"/><Relationship Type="http://schemas.openxmlformats.org/officeDocument/2006/relationships/hyperlink" Target="https://yakeey.com/fr-ma/achat/biens/6429" TargetMode="External" Id="rId651"/><Relationship Type="http://schemas.openxmlformats.org/officeDocument/2006/relationships/hyperlink" Target="https://yakeey.com/fr-ma/achat/biens/6443" TargetMode="External" Id="rId652"/><Relationship Type="http://schemas.openxmlformats.org/officeDocument/2006/relationships/hyperlink" Target="https://yakeey.com/fr-ma/achat/biens/64448" TargetMode="External" Id="rId653"/><Relationship Type="http://schemas.openxmlformats.org/officeDocument/2006/relationships/hyperlink" Target="https://yakeey.com/fr-ma/achat/biens/64514" TargetMode="External" Id="rId654"/><Relationship Type="http://schemas.openxmlformats.org/officeDocument/2006/relationships/hyperlink" Target="https://yakeey.com/fr-ma/achat/biens/64537" TargetMode="External" Id="rId655"/><Relationship Type="http://schemas.openxmlformats.org/officeDocument/2006/relationships/hyperlink" Target="https://yakeey.com/fr-ma/achat/biens/64704" TargetMode="External" Id="rId656"/><Relationship Type="http://schemas.openxmlformats.org/officeDocument/2006/relationships/hyperlink" Target="https://yakeey.com/fr-ma/achat/biens/65020" TargetMode="External" Id="rId657"/><Relationship Type="http://schemas.openxmlformats.org/officeDocument/2006/relationships/hyperlink" Target="https://yakeey.com/fr-ma/achat/biens/65303" TargetMode="External" Id="rId658"/><Relationship Type="http://schemas.openxmlformats.org/officeDocument/2006/relationships/hyperlink" Target="https://yakeey.com/fr-ma/achat/biens/65540" TargetMode="External" Id="rId659"/><Relationship Type="http://schemas.openxmlformats.org/officeDocument/2006/relationships/hyperlink" Target="https://yakeey.com/fr-ma/achat/biens/65544" TargetMode="External" Id="rId660"/><Relationship Type="http://schemas.openxmlformats.org/officeDocument/2006/relationships/hyperlink" Target="https://yakeey.com/fr-ma/achat/biens/65550" TargetMode="External" Id="rId661"/><Relationship Type="http://schemas.openxmlformats.org/officeDocument/2006/relationships/hyperlink" Target="https://yakeey.com/fr-ma/achat/biens/66413" TargetMode="External" Id="rId662"/><Relationship Type="http://schemas.openxmlformats.org/officeDocument/2006/relationships/hyperlink" Target="https://yakeey.com/fr-ma/achat/biens/66537" TargetMode="External" Id="rId663"/><Relationship Type="http://schemas.openxmlformats.org/officeDocument/2006/relationships/hyperlink" Target="https://yakeey.com/fr-ma/achat/biens/66644" TargetMode="External" Id="rId664"/><Relationship Type="http://schemas.openxmlformats.org/officeDocument/2006/relationships/hyperlink" Target="https://yakeey.com/fr-ma/achat/biens/6687" TargetMode="External" Id="rId665"/><Relationship Type="http://schemas.openxmlformats.org/officeDocument/2006/relationships/hyperlink" Target="https://yakeey.com/fr-ma/achat/biens/68492" TargetMode="External" Id="rId666"/><Relationship Type="http://schemas.openxmlformats.org/officeDocument/2006/relationships/hyperlink" Target="https://yakeey.com/fr-ma/achat/biens/6879" TargetMode="External" Id="rId667"/><Relationship Type="http://schemas.openxmlformats.org/officeDocument/2006/relationships/hyperlink" Target="https://yakeey.com/fr-ma/achat/biens/68880" TargetMode="External" Id="rId668"/><Relationship Type="http://schemas.openxmlformats.org/officeDocument/2006/relationships/hyperlink" Target="https://yakeey.com/fr-ma/achat/biens/69341" TargetMode="External" Id="rId669"/><Relationship Type="http://schemas.openxmlformats.org/officeDocument/2006/relationships/hyperlink" Target="https://yakeey.com/fr-ma/achat/biens/6935" TargetMode="External" Id="rId670"/><Relationship Type="http://schemas.openxmlformats.org/officeDocument/2006/relationships/hyperlink" Target="https://yakeey.com/fr-ma/achat/biens/69713" TargetMode="External" Id="rId671"/><Relationship Type="http://schemas.openxmlformats.org/officeDocument/2006/relationships/hyperlink" Target="https://yakeey.com/fr-ma/achat/biens/70083" TargetMode="External" Id="rId672"/><Relationship Type="http://schemas.openxmlformats.org/officeDocument/2006/relationships/hyperlink" Target="https://yakeey.com/fr-ma/achat/biens/7013" TargetMode="External" Id="rId673"/><Relationship Type="http://schemas.openxmlformats.org/officeDocument/2006/relationships/hyperlink" Target="https://yakeey.com/fr-ma/achat/biens/7050" TargetMode="External" Id="rId674"/><Relationship Type="http://schemas.openxmlformats.org/officeDocument/2006/relationships/hyperlink" Target="https://yakeey.com/fr-ma/achat/biens/70762" TargetMode="External" Id="rId675"/><Relationship Type="http://schemas.openxmlformats.org/officeDocument/2006/relationships/hyperlink" Target="https://yakeey.com/fr-ma/achat/biens/71236" TargetMode="External" Id="rId676"/><Relationship Type="http://schemas.openxmlformats.org/officeDocument/2006/relationships/hyperlink" Target="https://yakeey.com/fr-ma/achat/biens/7149" TargetMode="External" Id="rId677"/><Relationship Type="http://schemas.openxmlformats.org/officeDocument/2006/relationships/hyperlink" Target="https://yakeey.com/fr-ma/achat/biens/72696" TargetMode="External" Id="rId678"/><Relationship Type="http://schemas.openxmlformats.org/officeDocument/2006/relationships/hyperlink" Target="https://yakeey.com/fr-ma/achat/biens/72938" TargetMode="External" Id="rId679"/><Relationship Type="http://schemas.openxmlformats.org/officeDocument/2006/relationships/hyperlink" Target="https://yakeey.com/fr-ma/achat/biens/74263" TargetMode="External" Id="rId680"/><Relationship Type="http://schemas.openxmlformats.org/officeDocument/2006/relationships/hyperlink" Target="https://yakeey.com/fr-ma/achat/biens/74596" TargetMode="External" Id="rId681"/><Relationship Type="http://schemas.openxmlformats.org/officeDocument/2006/relationships/hyperlink" Target="https://yakeey.com/fr-ma/achat/biens/74814" TargetMode="External" Id="rId682"/><Relationship Type="http://schemas.openxmlformats.org/officeDocument/2006/relationships/hyperlink" Target="https://yakeey.com/fr-ma/achat/biens/75185" TargetMode="External" Id="rId683"/><Relationship Type="http://schemas.openxmlformats.org/officeDocument/2006/relationships/hyperlink" Target="https://yakeey.com/fr-ma/achat/biens/75384" TargetMode="External" Id="rId684"/><Relationship Type="http://schemas.openxmlformats.org/officeDocument/2006/relationships/hyperlink" Target="https://yakeey.com/fr-ma/achat/biens/75876" TargetMode="External" Id="rId685"/><Relationship Type="http://schemas.openxmlformats.org/officeDocument/2006/relationships/hyperlink" Target="https://yakeey.com/fr-ma/achat/biens/76405" TargetMode="External" Id="rId686"/><Relationship Type="http://schemas.openxmlformats.org/officeDocument/2006/relationships/hyperlink" Target="https://yakeey.com/fr-ma/achat/biens/76781" TargetMode="External" Id="rId687"/><Relationship Type="http://schemas.openxmlformats.org/officeDocument/2006/relationships/hyperlink" Target="https://yakeey.com/fr-ma/achat/biens/76871" TargetMode="External" Id="rId688"/><Relationship Type="http://schemas.openxmlformats.org/officeDocument/2006/relationships/hyperlink" Target="https://yakeey.com/fr-ma/achat/biens/77058" TargetMode="External" Id="rId689"/><Relationship Type="http://schemas.openxmlformats.org/officeDocument/2006/relationships/hyperlink" Target="https://yakeey.com/fr-ma/achat/biens/77253" TargetMode="External" Id="rId690"/><Relationship Type="http://schemas.openxmlformats.org/officeDocument/2006/relationships/hyperlink" Target="https://yakeey.com/fr-ma/achat/biens/77261" TargetMode="External" Id="rId691"/><Relationship Type="http://schemas.openxmlformats.org/officeDocument/2006/relationships/hyperlink" Target="https://yakeey.com/fr-ma/achat/biens/77471" TargetMode="External" Id="rId692"/><Relationship Type="http://schemas.openxmlformats.org/officeDocument/2006/relationships/hyperlink" Target="https://yakeey.com/fr-ma/achat/biens/77916" TargetMode="External" Id="rId693"/><Relationship Type="http://schemas.openxmlformats.org/officeDocument/2006/relationships/hyperlink" Target="https://yakeey.com/fr-ma/achat/biens/77966" TargetMode="External" Id="rId694"/><Relationship Type="http://schemas.openxmlformats.org/officeDocument/2006/relationships/hyperlink" Target="https://yakeey.com/fr-ma/achat/biens/78305" TargetMode="External" Id="rId695"/><Relationship Type="http://schemas.openxmlformats.org/officeDocument/2006/relationships/hyperlink" Target="https://yakeey.com/fr-ma/achat/biens/7872" TargetMode="External" Id="rId696"/><Relationship Type="http://schemas.openxmlformats.org/officeDocument/2006/relationships/hyperlink" Target="https://yakeey.com/fr-ma/achat/biens/78925" TargetMode="External" Id="rId697"/><Relationship Type="http://schemas.openxmlformats.org/officeDocument/2006/relationships/hyperlink" Target="https://yakeey.com/fr-ma/achat/biens/78954" TargetMode="External" Id="rId698"/><Relationship Type="http://schemas.openxmlformats.org/officeDocument/2006/relationships/hyperlink" Target="https://yakeey.com/fr-ma/achat/biens/78979" TargetMode="External" Id="rId699"/><Relationship Type="http://schemas.openxmlformats.org/officeDocument/2006/relationships/hyperlink" Target="https://yakeey.com/fr-ma/achat/biens/78982" TargetMode="External" Id="rId700"/><Relationship Type="http://schemas.openxmlformats.org/officeDocument/2006/relationships/hyperlink" Target="https://yakeey.com/fr-ma/achat/biens/79231" TargetMode="External" Id="rId701"/><Relationship Type="http://schemas.openxmlformats.org/officeDocument/2006/relationships/hyperlink" Target="https://yakeey.com/fr-ma/achat/biens/79276" TargetMode="External" Id="rId702"/><Relationship Type="http://schemas.openxmlformats.org/officeDocument/2006/relationships/hyperlink" Target="https://yakeey.com/fr-ma/achat/biens/79382" TargetMode="External" Id="rId703"/><Relationship Type="http://schemas.openxmlformats.org/officeDocument/2006/relationships/hyperlink" Target="https://yakeey.com/fr-ma/achat/biens/79519" TargetMode="External" Id="rId704"/><Relationship Type="http://schemas.openxmlformats.org/officeDocument/2006/relationships/hyperlink" Target="https://yakeey.com/fr-ma/achat/biens/79539" TargetMode="External" Id="rId705"/><Relationship Type="http://schemas.openxmlformats.org/officeDocument/2006/relationships/hyperlink" Target="https://yakeey.com/fr-ma/achat/biens/79591" TargetMode="External" Id="rId706"/><Relationship Type="http://schemas.openxmlformats.org/officeDocument/2006/relationships/hyperlink" Target="https://yakeey.com/fr-ma/achat/biens/80176" TargetMode="External" Id="rId707"/><Relationship Type="http://schemas.openxmlformats.org/officeDocument/2006/relationships/hyperlink" Target="https://yakeey.com/fr-ma/achat/biens/80208" TargetMode="External" Id="rId708"/><Relationship Type="http://schemas.openxmlformats.org/officeDocument/2006/relationships/hyperlink" Target="https://yakeey.com/fr-ma/achat/biens/80302" TargetMode="External" Id="rId709"/><Relationship Type="http://schemas.openxmlformats.org/officeDocument/2006/relationships/hyperlink" Target="https://yakeey.com/fr-ma/achat/biens/80386" TargetMode="External" Id="rId710"/><Relationship Type="http://schemas.openxmlformats.org/officeDocument/2006/relationships/hyperlink" Target="https://yakeey.com/fr-ma/achat/biens/80463" TargetMode="External" Id="rId711"/><Relationship Type="http://schemas.openxmlformats.org/officeDocument/2006/relationships/hyperlink" Target="https://yakeey.com/fr-ma/achat/biens/806" TargetMode="External" Id="rId712"/><Relationship Type="http://schemas.openxmlformats.org/officeDocument/2006/relationships/hyperlink" Target="https://yakeey.com/fr-ma/achat/biens/81145" TargetMode="External" Id="rId713"/><Relationship Type="http://schemas.openxmlformats.org/officeDocument/2006/relationships/hyperlink" Target="https://yakeey.com/fr-ma/achat/biens/81875" TargetMode="External" Id="rId714"/><Relationship Type="http://schemas.openxmlformats.org/officeDocument/2006/relationships/hyperlink" Target="https://yakeey.com/fr-ma/achat/biens/82138" TargetMode="External" Id="rId715"/><Relationship Type="http://schemas.openxmlformats.org/officeDocument/2006/relationships/hyperlink" Target="https://yakeey.com/fr-ma/achat/biens/82286" TargetMode="External" Id="rId716"/><Relationship Type="http://schemas.openxmlformats.org/officeDocument/2006/relationships/hyperlink" Target="https://yakeey.com/fr-ma/achat/biens/82704" TargetMode="External" Id="rId717"/><Relationship Type="http://schemas.openxmlformats.org/officeDocument/2006/relationships/hyperlink" Target="https://yakeey.com/fr-ma/achat/biens/82873" TargetMode="External" Id="rId718"/><Relationship Type="http://schemas.openxmlformats.org/officeDocument/2006/relationships/hyperlink" Target="https://yakeey.com/fr-ma/achat/biens/83893" TargetMode="External" Id="rId719"/><Relationship Type="http://schemas.openxmlformats.org/officeDocument/2006/relationships/hyperlink" Target="https://yakeey.com/fr-ma/achat/biens/83958" TargetMode="External" Id="rId720"/><Relationship Type="http://schemas.openxmlformats.org/officeDocument/2006/relationships/hyperlink" Target="https://yakeey.com/fr-ma/achat/biens/84287" TargetMode="External" Id="rId721"/><Relationship Type="http://schemas.openxmlformats.org/officeDocument/2006/relationships/hyperlink" Target="https://yakeey.com/fr-ma/achat/biens/84725" TargetMode="External" Id="rId722"/><Relationship Type="http://schemas.openxmlformats.org/officeDocument/2006/relationships/hyperlink" Target="https://yakeey.com/fr-ma/achat/biens/86363" TargetMode="External" Id="rId723"/><Relationship Type="http://schemas.openxmlformats.org/officeDocument/2006/relationships/hyperlink" Target="https://yakeey.com/fr-ma/achat/biens/8649" TargetMode="External" Id="rId724"/><Relationship Type="http://schemas.openxmlformats.org/officeDocument/2006/relationships/hyperlink" Target="https://yakeey.com/fr-ma/achat/biens/8650" TargetMode="External" Id="rId725"/><Relationship Type="http://schemas.openxmlformats.org/officeDocument/2006/relationships/hyperlink" Target="https://yakeey.com/fr-ma/achat/biens/86932" TargetMode="External" Id="rId726"/><Relationship Type="http://schemas.openxmlformats.org/officeDocument/2006/relationships/hyperlink" Target="https://yakeey.com/fr-ma/achat/biens/87195" TargetMode="External" Id="rId727"/><Relationship Type="http://schemas.openxmlformats.org/officeDocument/2006/relationships/hyperlink" Target="https://yakeey.com/fr-ma/achat/biens/87209" TargetMode="External" Id="rId728"/><Relationship Type="http://schemas.openxmlformats.org/officeDocument/2006/relationships/hyperlink" Target="https://yakeey.com/fr-ma/achat/biens/87476" TargetMode="External" Id="rId729"/><Relationship Type="http://schemas.openxmlformats.org/officeDocument/2006/relationships/hyperlink" Target="https://yakeey.com/fr-ma/achat/biens/87738" TargetMode="External" Id="rId730"/><Relationship Type="http://schemas.openxmlformats.org/officeDocument/2006/relationships/hyperlink" Target="https://yakeey.com/fr-ma/achat/biens/88108" TargetMode="External" Id="rId731"/><Relationship Type="http://schemas.openxmlformats.org/officeDocument/2006/relationships/hyperlink" Target="https://yakeey.com/fr-ma/achat/biens/88400" TargetMode="External" Id="rId732"/><Relationship Type="http://schemas.openxmlformats.org/officeDocument/2006/relationships/hyperlink" Target="https://yakeey.com/fr-ma/achat/biens/88748" TargetMode="External" Id="rId733"/><Relationship Type="http://schemas.openxmlformats.org/officeDocument/2006/relationships/hyperlink" Target="https://yakeey.com/fr-ma/achat/biens/88761" TargetMode="External" Id="rId734"/><Relationship Type="http://schemas.openxmlformats.org/officeDocument/2006/relationships/hyperlink" Target="https://yakeey.com/fr-ma/achat/biens/88832" TargetMode="External" Id="rId735"/><Relationship Type="http://schemas.openxmlformats.org/officeDocument/2006/relationships/hyperlink" Target="https://yakeey.com/fr-ma/achat/biens/8888" TargetMode="External" Id="rId736"/><Relationship Type="http://schemas.openxmlformats.org/officeDocument/2006/relationships/hyperlink" Target="https://yakeey.com/fr-ma/achat/biens/89176" TargetMode="External" Id="rId737"/><Relationship Type="http://schemas.openxmlformats.org/officeDocument/2006/relationships/hyperlink" Target="https://yakeey.com/fr-ma/achat/biens/90589" TargetMode="External" Id="rId738"/><Relationship Type="http://schemas.openxmlformats.org/officeDocument/2006/relationships/hyperlink" Target="https://yakeey.com/fr-ma/achat/biens/90614" TargetMode="External" Id="rId739"/><Relationship Type="http://schemas.openxmlformats.org/officeDocument/2006/relationships/hyperlink" Target="https://yakeey.com/fr-ma/achat/biens/91081" TargetMode="External" Id="rId740"/><Relationship Type="http://schemas.openxmlformats.org/officeDocument/2006/relationships/hyperlink" Target="https://yakeey.com/fr-ma/achat/biens/91097" TargetMode="External" Id="rId741"/><Relationship Type="http://schemas.openxmlformats.org/officeDocument/2006/relationships/hyperlink" Target="https://yakeey.com/fr-ma/achat/biens/91137" TargetMode="External" Id="rId742"/><Relationship Type="http://schemas.openxmlformats.org/officeDocument/2006/relationships/hyperlink" Target="https://yakeey.com/fr-ma/achat/biens/91518" TargetMode="External" Id="rId743"/><Relationship Type="http://schemas.openxmlformats.org/officeDocument/2006/relationships/hyperlink" Target="https://yakeey.com/fr-ma/achat/biens/91597" TargetMode="External" Id="rId744"/><Relationship Type="http://schemas.openxmlformats.org/officeDocument/2006/relationships/hyperlink" Target="https://yakeey.com/fr-ma/achat/biens/91841" TargetMode="External" Id="rId745"/><Relationship Type="http://schemas.openxmlformats.org/officeDocument/2006/relationships/hyperlink" Target="https://yakeey.com/fr-ma/achat/biens/92361" TargetMode="External" Id="rId746"/><Relationship Type="http://schemas.openxmlformats.org/officeDocument/2006/relationships/hyperlink" Target="https://yakeey.com/fr-ma/achat/biens/92593" TargetMode="External" Id="rId747"/><Relationship Type="http://schemas.openxmlformats.org/officeDocument/2006/relationships/hyperlink" Target="https://yakeey.com/fr-ma/achat/biens/93611" TargetMode="External" Id="rId748"/><Relationship Type="http://schemas.openxmlformats.org/officeDocument/2006/relationships/hyperlink" Target="https://yakeey.com/fr-ma/achat/biens/94364" TargetMode="External" Id="rId749"/><Relationship Type="http://schemas.openxmlformats.org/officeDocument/2006/relationships/hyperlink" Target="https://yakeey.com/fr-ma/achat/biens/94471" TargetMode="External" Id="rId750"/><Relationship Type="http://schemas.openxmlformats.org/officeDocument/2006/relationships/hyperlink" Target="https://yakeey.com/fr-ma/achat/biens/94476" TargetMode="External" Id="rId751"/><Relationship Type="http://schemas.openxmlformats.org/officeDocument/2006/relationships/hyperlink" Target="https://yakeey.com/fr-ma/achat/biens/94878" TargetMode="External" Id="rId752"/><Relationship Type="http://schemas.openxmlformats.org/officeDocument/2006/relationships/hyperlink" Target="https://yakeey.com/fr-ma/achat/biens/95266" TargetMode="External" Id="rId753"/><Relationship Type="http://schemas.openxmlformats.org/officeDocument/2006/relationships/hyperlink" Target="https://yakeey.com/fr-ma/achat/biens/95319" TargetMode="External" Id="rId754"/><Relationship Type="http://schemas.openxmlformats.org/officeDocument/2006/relationships/hyperlink" Target="https://yakeey.com/fr-ma/achat/biens/9559" TargetMode="External" Id="rId755"/><Relationship Type="http://schemas.openxmlformats.org/officeDocument/2006/relationships/hyperlink" Target="https://yakeey.com/fr-ma/achat/biens/96024" TargetMode="External" Id="rId756"/><Relationship Type="http://schemas.openxmlformats.org/officeDocument/2006/relationships/hyperlink" Target="https://yakeey.com/fr-ma/achat/biens/96278" TargetMode="External" Id="rId757"/><Relationship Type="http://schemas.openxmlformats.org/officeDocument/2006/relationships/hyperlink" Target="https://yakeey.com/fr-ma/achat/biens/96674" TargetMode="External" Id="rId758"/><Relationship Type="http://schemas.openxmlformats.org/officeDocument/2006/relationships/hyperlink" Target="https://yakeey.com/fr-ma/achat/biens/96794" TargetMode="External" Id="rId759"/><Relationship Type="http://schemas.openxmlformats.org/officeDocument/2006/relationships/hyperlink" Target="https://yakeey.com/fr-ma/achat/biens/96895" TargetMode="External" Id="rId760"/><Relationship Type="http://schemas.openxmlformats.org/officeDocument/2006/relationships/hyperlink" Target="https://yakeey.com/fr-ma/achat/biens/97793" TargetMode="External" Id="rId761"/><Relationship Type="http://schemas.openxmlformats.org/officeDocument/2006/relationships/hyperlink" Target="https://yakeey.com/fr-ma/achat/biens/98178" TargetMode="External" Id="rId762"/><Relationship Type="http://schemas.openxmlformats.org/officeDocument/2006/relationships/hyperlink" Target="https://yakeey.com/fr-ma/achat/biens/98225" TargetMode="External" Id="rId763"/><Relationship Type="http://schemas.openxmlformats.org/officeDocument/2006/relationships/hyperlink" Target="https://yakeey.com/fr-ma/achat/biens/995" TargetMode="External" Id="rId764"/><Relationship Type="http://schemas.openxmlformats.org/officeDocument/2006/relationships/hyperlink" Target="https://yakeey.com/fr-ma/achat/biens/99661" TargetMode="External" Id="rId765"/><Relationship Type="http://schemas.openxmlformats.org/officeDocument/2006/relationships/hyperlink" Target="https://yakeey.com/fr-ma/achat/biens/99714" TargetMode="External" Id="rId766"/><Relationship Type="http://schemas.openxmlformats.org/officeDocument/2006/relationships/hyperlink" Target="https://yakeey.com/fr-ma/achat/biens/102177" TargetMode="External" Id="rId767"/><Relationship Type="http://schemas.openxmlformats.org/officeDocument/2006/relationships/hyperlink" Target="https://yakeey.com/fr-ma/achat/biens/104236" TargetMode="External" Id="rId768"/><Relationship Type="http://schemas.openxmlformats.org/officeDocument/2006/relationships/hyperlink" Target="https://yakeey.com/fr-ma/achat/biens/108529" TargetMode="External" Id="rId769"/><Relationship Type="http://schemas.openxmlformats.org/officeDocument/2006/relationships/hyperlink" Target="https://yakeey.com/fr-ma/achat/biens/117378" TargetMode="External" Id="rId770"/><Relationship Type="http://schemas.openxmlformats.org/officeDocument/2006/relationships/hyperlink" Target="https://yakeey.com/fr-ma/achat/biens/117569" TargetMode="External" Id="rId771"/><Relationship Type="http://schemas.openxmlformats.org/officeDocument/2006/relationships/hyperlink" Target="https://yakeey.com/fr-ma/achat/biens/117595" TargetMode="External" Id="rId772"/><Relationship Type="http://schemas.openxmlformats.org/officeDocument/2006/relationships/hyperlink" Target="https://yakeey.com/fr-ma/achat/biens/118074" TargetMode="External" Id="rId773"/><Relationship Type="http://schemas.openxmlformats.org/officeDocument/2006/relationships/hyperlink" Target="https://yakeey.com/fr-ma/achat/biens/118210" TargetMode="External" Id="rId774"/><Relationship Type="http://schemas.openxmlformats.org/officeDocument/2006/relationships/hyperlink" Target="https://yakeey.com/fr-ma/achat/biens/118380" TargetMode="External" Id="rId775"/><Relationship Type="http://schemas.openxmlformats.org/officeDocument/2006/relationships/hyperlink" Target="https://yakeey.com/fr-ma/achat/biens/119216" TargetMode="External" Id="rId776"/><Relationship Type="http://schemas.openxmlformats.org/officeDocument/2006/relationships/hyperlink" Target="https://yakeey.com/fr-ma/achat/biens/121947" TargetMode="External" Id="rId777"/><Relationship Type="http://schemas.openxmlformats.org/officeDocument/2006/relationships/hyperlink" Target="https://yakeey.com/fr-ma/achat/biens/122124" TargetMode="External" Id="rId778"/><Relationship Type="http://schemas.openxmlformats.org/officeDocument/2006/relationships/hyperlink" Target="https://yakeey.com/fr-ma/achat/biens/12236" TargetMode="External" Id="rId779"/><Relationship Type="http://schemas.openxmlformats.org/officeDocument/2006/relationships/hyperlink" Target="https://yakeey.com/fr-ma/achat/biens/122849" TargetMode="External" Id="rId780"/><Relationship Type="http://schemas.openxmlformats.org/officeDocument/2006/relationships/hyperlink" Target="https://yakeey.com/fr-ma/achat/biens/12304" TargetMode="External" Id="rId781"/><Relationship Type="http://schemas.openxmlformats.org/officeDocument/2006/relationships/hyperlink" Target="https://yakeey.com/fr-ma/achat/biens/12318" TargetMode="External" Id="rId782"/><Relationship Type="http://schemas.openxmlformats.org/officeDocument/2006/relationships/hyperlink" Target="https://yakeey.com/fr-ma/achat/biens/125792" TargetMode="External" Id="rId783"/><Relationship Type="http://schemas.openxmlformats.org/officeDocument/2006/relationships/hyperlink" Target="https://yakeey.com/fr-ma/achat/biens/125967" TargetMode="External" Id="rId784"/><Relationship Type="http://schemas.openxmlformats.org/officeDocument/2006/relationships/hyperlink" Target="https://yakeey.com/fr-ma/achat/biens/126278" TargetMode="External" Id="rId785"/><Relationship Type="http://schemas.openxmlformats.org/officeDocument/2006/relationships/hyperlink" Target="https://yakeey.com/fr-ma/achat/biens/126652" TargetMode="External" Id="rId786"/><Relationship Type="http://schemas.openxmlformats.org/officeDocument/2006/relationships/hyperlink" Target="https://yakeey.com/fr-ma/achat/biens/126735" TargetMode="External" Id="rId787"/><Relationship Type="http://schemas.openxmlformats.org/officeDocument/2006/relationships/hyperlink" Target="https://yakeey.com/fr-ma/achat/biens/126798" TargetMode="External" Id="rId788"/><Relationship Type="http://schemas.openxmlformats.org/officeDocument/2006/relationships/hyperlink" Target="https://yakeey.com/fr-ma/achat/biens/126804" TargetMode="External" Id="rId789"/><Relationship Type="http://schemas.openxmlformats.org/officeDocument/2006/relationships/hyperlink" Target="https://yakeey.com/fr-ma/achat/biens/128072" TargetMode="External" Id="rId790"/><Relationship Type="http://schemas.openxmlformats.org/officeDocument/2006/relationships/hyperlink" Target="https://yakeey.com/fr-ma/achat/biens/13059" TargetMode="External" Id="rId791"/><Relationship Type="http://schemas.openxmlformats.org/officeDocument/2006/relationships/hyperlink" Target="https://yakeey.com/fr-ma/achat/biens/13250" TargetMode="External" Id="rId792"/><Relationship Type="http://schemas.openxmlformats.org/officeDocument/2006/relationships/hyperlink" Target="https://yakeey.com/fr-ma/achat/biens/139041" TargetMode="External" Id="rId793"/><Relationship Type="http://schemas.openxmlformats.org/officeDocument/2006/relationships/hyperlink" Target="https://yakeey.com/fr-ma/achat/biens/139046" TargetMode="External" Id="rId794"/><Relationship Type="http://schemas.openxmlformats.org/officeDocument/2006/relationships/hyperlink" Target="https://yakeey.com/fr-ma/achat/biens/139052" TargetMode="External" Id="rId795"/><Relationship Type="http://schemas.openxmlformats.org/officeDocument/2006/relationships/hyperlink" Target="https://yakeey.com/fr-ma/achat/biens/139058" TargetMode="External" Id="rId796"/><Relationship Type="http://schemas.openxmlformats.org/officeDocument/2006/relationships/hyperlink" Target="https://yakeey.com/fr-ma/achat/biens/139400" TargetMode="External" Id="rId797"/><Relationship Type="http://schemas.openxmlformats.org/officeDocument/2006/relationships/hyperlink" Target="https://yakeey.com/fr-ma/achat/biens/141731" TargetMode="External" Id="rId798"/><Relationship Type="http://schemas.openxmlformats.org/officeDocument/2006/relationships/hyperlink" Target="https://yakeey.com/fr-ma/achat/biens/144045" TargetMode="External" Id="rId799"/><Relationship Type="http://schemas.openxmlformats.org/officeDocument/2006/relationships/hyperlink" Target="https://yakeey.com/fr-ma/achat/biens/145476" TargetMode="External" Id="rId800"/><Relationship Type="http://schemas.openxmlformats.org/officeDocument/2006/relationships/hyperlink" Target="https://yakeey.com/fr-ma/achat/biens/147292" TargetMode="External" Id="rId801"/><Relationship Type="http://schemas.openxmlformats.org/officeDocument/2006/relationships/hyperlink" Target="https://yakeey.com/fr-ma/achat/biens/148845" TargetMode="External" Id="rId802"/><Relationship Type="http://schemas.openxmlformats.org/officeDocument/2006/relationships/hyperlink" Target="https://yakeey.com/fr-ma/achat/biens/153105" TargetMode="External" Id="rId803"/><Relationship Type="http://schemas.openxmlformats.org/officeDocument/2006/relationships/hyperlink" Target="https://yakeey.com/fr-ma/achat/biens/153164" TargetMode="External" Id="rId804"/><Relationship Type="http://schemas.openxmlformats.org/officeDocument/2006/relationships/hyperlink" Target="https://yakeey.com/fr-ma/achat/biens/153485" TargetMode="External" Id="rId805"/><Relationship Type="http://schemas.openxmlformats.org/officeDocument/2006/relationships/hyperlink" Target="https://yakeey.com/fr-ma/achat/biens/15710" TargetMode="External" Id="rId806"/><Relationship Type="http://schemas.openxmlformats.org/officeDocument/2006/relationships/hyperlink" Target="https://yakeey.com/fr-ma/achat/biens/157449" TargetMode="External" Id="rId807"/><Relationship Type="http://schemas.openxmlformats.org/officeDocument/2006/relationships/hyperlink" Target="https://yakeey.com/fr-ma/achat/biens/158048" TargetMode="External" Id="rId808"/><Relationship Type="http://schemas.openxmlformats.org/officeDocument/2006/relationships/hyperlink" Target="https://yakeey.com/fr-ma/achat/biens/158461" TargetMode="External" Id="rId809"/><Relationship Type="http://schemas.openxmlformats.org/officeDocument/2006/relationships/hyperlink" Target="https://yakeey.com/fr-ma/achat/biens/159534" TargetMode="External" Id="rId810"/><Relationship Type="http://schemas.openxmlformats.org/officeDocument/2006/relationships/hyperlink" Target="https://yakeey.com/fr-ma/achat/biens/160436" TargetMode="External" Id="rId811"/><Relationship Type="http://schemas.openxmlformats.org/officeDocument/2006/relationships/hyperlink" Target="https://yakeey.com/fr-ma/achat/biens/160778" TargetMode="External" Id="rId812"/><Relationship Type="http://schemas.openxmlformats.org/officeDocument/2006/relationships/hyperlink" Target="https://yakeey.com/fr-ma/achat/biens/160799" TargetMode="External" Id="rId813"/><Relationship Type="http://schemas.openxmlformats.org/officeDocument/2006/relationships/hyperlink" Target="https://yakeey.com/fr-ma/achat/biens/160816" TargetMode="External" Id="rId814"/><Relationship Type="http://schemas.openxmlformats.org/officeDocument/2006/relationships/hyperlink" Target="https://yakeey.com/fr-ma/achat/biens/161942" TargetMode="External" Id="rId815"/><Relationship Type="http://schemas.openxmlformats.org/officeDocument/2006/relationships/hyperlink" Target="https://yakeey.com/fr-ma/achat/biens/164553" TargetMode="External" Id="rId816"/><Relationship Type="http://schemas.openxmlformats.org/officeDocument/2006/relationships/hyperlink" Target="https://yakeey.com/fr-ma/achat/biens/165426" TargetMode="External" Id="rId817"/><Relationship Type="http://schemas.openxmlformats.org/officeDocument/2006/relationships/hyperlink" Target="https://yakeey.com/fr-ma/achat/biens/165522" TargetMode="External" Id="rId818"/><Relationship Type="http://schemas.openxmlformats.org/officeDocument/2006/relationships/hyperlink" Target="https://yakeey.com/fr-ma/achat/biens/166294" TargetMode="External" Id="rId819"/><Relationship Type="http://schemas.openxmlformats.org/officeDocument/2006/relationships/hyperlink" Target="https://yakeey.com/fr-ma/achat/biens/166929" TargetMode="External" Id="rId820"/><Relationship Type="http://schemas.openxmlformats.org/officeDocument/2006/relationships/hyperlink" Target="https://yakeey.com/fr-ma/achat/biens/167127" TargetMode="External" Id="rId821"/><Relationship Type="http://schemas.openxmlformats.org/officeDocument/2006/relationships/hyperlink" Target="https://yakeey.com/fr-ma/achat/biens/167587" TargetMode="External" Id="rId822"/><Relationship Type="http://schemas.openxmlformats.org/officeDocument/2006/relationships/hyperlink" Target="https://yakeey.com/fr-ma/achat/biens/168844" TargetMode="External" Id="rId823"/><Relationship Type="http://schemas.openxmlformats.org/officeDocument/2006/relationships/hyperlink" Target="https://yakeey.com/fr-ma/achat/biens/170231" TargetMode="External" Id="rId824"/><Relationship Type="http://schemas.openxmlformats.org/officeDocument/2006/relationships/hyperlink" Target="https://yakeey.com/fr-ma/achat/biens/170546" TargetMode="External" Id="rId825"/><Relationship Type="http://schemas.openxmlformats.org/officeDocument/2006/relationships/hyperlink" Target="https://yakeey.com/fr-ma/achat/biens/170898" TargetMode="External" Id="rId826"/><Relationship Type="http://schemas.openxmlformats.org/officeDocument/2006/relationships/hyperlink" Target="https://yakeey.com/fr-ma/achat/biens/171084" TargetMode="External" Id="rId827"/><Relationship Type="http://schemas.openxmlformats.org/officeDocument/2006/relationships/hyperlink" Target="https://yakeey.com/fr-ma/achat/biens/171974" TargetMode="External" Id="rId828"/><Relationship Type="http://schemas.openxmlformats.org/officeDocument/2006/relationships/hyperlink" Target="https://yakeey.com/fr-ma/achat/biens/172023" TargetMode="External" Id="rId829"/><Relationship Type="http://schemas.openxmlformats.org/officeDocument/2006/relationships/hyperlink" Target="https://yakeey.com/fr-ma/achat/biens/173477" TargetMode="External" Id="rId830"/><Relationship Type="http://schemas.openxmlformats.org/officeDocument/2006/relationships/hyperlink" Target="https://yakeey.com/fr-ma/achat/biens/178031" TargetMode="External" Id="rId831"/><Relationship Type="http://schemas.openxmlformats.org/officeDocument/2006/relationships/hyperlink" Target="https://yakeey.com/fr-ma/achat/biens/178075" TargetMode="External" Id="rId832"/><Relationship Type="http://schemas.openxmlformats.org/officeDocument/2006/relationships/hyperlink" Target="https://yakeey.com/fr-ma/achat/biens/178580" TargetMode="External" Id="rId833"/><Relationship Type="http://schemas.openxmlformats.org/officeDocument/2006/relationships/hyperlink" Target="https://yakeey.com/fr-ma/achat/biens/179504" TargetMode="External" Id="rId834"/><Relationship Type="http://schemas.openxmlformats.org/officeDocument/2006/relationships/hyperlink" Target="https://yakeey.com/fr-ma/achat/biens/17971" TargetMode="External" Id="rId835"/><Relationship Type="http://schemas.openxmlformats.org/officeDocument/2006/relationships/hyperlink" Target="https://yakeey.com/fr-ma/achat/biens/183305" TargetMode="External" Id="rId836"/><Relationship Type="http://schemas.openxmlformats.org/officeDocument/2006/relationships/hyperlink" Target="https://yakeey.com/fr-ma/achat/biens/184129" TargetMode="External" Id="rId837"/><Relationship Type="http://schemas.openxmlformats.org/officeDocument/2006/relationships/hyperlink" Target="https://yakeey.com/fr-ma/achat/biens/18502" TargetMode="External" Id="rId838"/><Relationship Type="http://schemas.openxmlformats.org/officeDocument/2006/relationships/hyperlink" Target="https://yakeey.com/fr-ma/achat/biens/185845" TargetMode="External" Id="rId839"/><Relationship Type="http://schemas.openxmlformats.org/officeDocument/2006/relationships/hyperlink" Target="https://yakeey.com/fr-ma/achat/biens/185855" TargetMode="External" Id="rId840"/><Relationship Type="http://schemas.openxmlformats.org/officeDocument/2006/relationships/hyperlink" Target="https://yakeey.com/fr-ma/achat/biens/186577" TargetMode="External" Id="rId841"/><Relationship Type="http://schemas.openxmlformats.org/officeDocument/2006/relationships/hyperlink" Target="https://yakeey.com/fr-ma/achat/biens/18692" TargetMode="External" Id="rId842"/><Relationship Type="http://schemas.openxmlformats.org/officeDocument/2006/relationships/hyperlink" Target="https://yakeey.com/fr-ma/achat/biens/187869" TargetMode="External" Id="rId843"/><Relationship Type="http://schemas.openxmlformats.org/officeDocument/2006/relationships/hyperlink" Target="https://yakeey.com/fr-ma/achat/biens/188715" TargetMode="External" Id="rId844"/><Relationship Type="http://schemas.openxmlformats.org/officeDocument/2006/relationships/hyperlink" Target="https://yakeey.com/fr-ma/achat/biens/188917" TargetMode="External" Id="rId845"/><Relationship Type="http://schemas.openxmlformats.org/officeDocument/2006/relationships/hyperlink" Target="https://yakeey.com/fr-ma/achat/biens/189650" TargetMode="External" Id="rId846"/><Relationship Type="http://schemas.openxmlformats.org/officeDocument/2006/relationships/hyperlink" Target="https://yakeey.com/fr-ma/achat/biens/189979" TargetMode="External" Id="rId847"/><Relationship Type="http://schemas.openxmlformats.org/officeDocument/2006/relationships/hyperlink" Target="https://yakeey.com/fr-ma/achat/biens/19989" TargetMode="External" Id="rId848"/><Relationship Type="http://schemas.openxmlformats.org/officeDocument/2006/relationships/hyperlink" Target="https://yakeey.com/fr-ma/achat/biens/20813" TargetMode="External" Id="rId849"/><Relationship Type="http://schemas.openxmlformats.org/officeDocument/2006/relationships/hyperlink" Target="https://yakeey.com/fr-ma/achat/biens/21567" TargetMode="External" Id="rId850"/><Relationship Type="http://schemas.openxmlformats.org/officeDocument/2006/relationships/hyperlink" Target="https://yakeey.com/fr-ma/achat/biens/23023" TargetMode="External" Id="rId851"/><Relationship Type="http://schemas.openxmlformats.org/officeDocument/2006/relationships/hyperlink" Target="https://yakeey.com/fr-ma/achat/biens/24566" TargetMode="External" Id="rId852"/><Relationship Type="http://schemas.openxmlformats.org/officeDocument/2006/relationships/hyperlink" Target="https://yakeey.com/fr-ma/achat/biens/27382" TargetMode="External" Id="rId853"/><Relationship Type="http://schemas.openxmlformats.org/officeDocument/2006/relationships/hyperlink" Target="https://yakeey.com/fr-ma/achat/biens/27929" TargetMode="External" Id="rId854"/><Relationship Type="http://schemas.openxmlformats.org/officeDocument/2006/relationships/hyperlink" Target="https://yakeey.com/fr-ma/achat/biens/30736" TargetMode="External" Id="rId855"/><Relationship Type="http://schemas.openxmlformats.org/officeDocument/2006/relationships/hyperlink" Target="https://yakeey.com/fr-ma/achat/biens/32635" TargetMode="External" Id="rId856"/><Relationship Type="http://schemas.openxmlformats.org/officeDocument/2006/relationships/hyperlink" Target="https://yakeey.com/fr-ma/achat/biens/34325" TargetMode="External" Id="rId857"/><Relationship Type="http://schemas.openxmlformats.org/officeDocument/2006/relationships/hyperlink" Target="https://yakeey.com/fr-ma/achat/biens/35541" TargetMode="External" Id="rId858"/><Relationship Type="http://schemas.openxmlformats.org/officeDocument/2006/relationships/hyperlink" Target="https://yakeey.com/fr-ma/achat/biens/36081" TargetMode="External" Id="rId859"/><Relationship Type="http://schemas.openxmlformats.org/officeDocument/2006/relationships/hyperlink" Target="https://yakeey.com/fr-ma/achat/biens/40083" TargetMode="External" Id="rId860"/><Relationship Type="http://schemas.openxmlformats.org/officeDocument/2006/relationships/hyperlink" Target="https://yakeey.com/fr-ma/achat/biens/44184" TargetMode="External" Id="rId861"/><Relationship Type="http://schemas.openxmlformats.org/officeDocument/2006/relationships/hyperlink" Target="https://yakeey.com/fr-ma/achat/biens/46530" TargetMode="External" Id="rId862"/><Relationship Type="http://schemas.openxmlformats.org/officeDocument/2006/relationships/hyperlink" Target="https://yakeey.com/fr-ma/achat/biens/47038" TargetMode="External" Id="rId863"/><Relationship Type="http://schemas.openxmlformats.org/officeDocument/2006/relationships/hyperlink" Target="https://yakeey.com/fr-ma/achat/biens/47042" TargetMode="External" Id="rId864"/><Relationship Type="http://schemas.openxmlformats.org/officeDocument/2006/relationships/hyperlink" Target="https://yakeey.com/fr-ma/achat/biens/47043" TargetMode="External" Id="rId865"/><Relationship Type="http://schemas.openxmlformats.org/officeDocument/2006/relationships/hyperlink" Target="https://yakeey.com/fr-ma/achat/biens/48209" TargetMode="External" Id="rId866"/><Relationship Type="http://schemas.openxmlformats.org/officeDocument/2006/relationships/hyperlink" Target="https://yakeey.com/fr-ma/achat/biens/48546" TargetMode="External" Id="rId867"/><Relationship Type="http://schemas.openxmlformats.org/officeDocument/2006/relationships/hyperlink" Target="https://yakeey.com/fr-ma/achat/biens/50516" TargetMode="External" Id="rId868"/><Relationship Type="http://schemas.openxmlformats.org/officeDocument/2006/relationships/hyperlink" Target="https://yakeey.com/fr-ma/achat/biens/52145" TargetMode="External" Id="rId869"/><Relationship Type="http://schemas.openxmlformats.org/officeDocument/2006/relationships/hyperlink" Target="https://yakeey.com/fr-ma/achat/biens/54828" TargetMode="External" Id="rId870"/><Relationship Type="http://schemas.openxmlformats.org/officeDocument/2006/relationships/hyperlink" Target="https://yakeey.com/fr-ma/achat/biens/5520" TargetMode="External" Id="rId871"/><Relationship Type="http://schemas.openxmlformats.org/officeDocument/2006/relationships/hyperlink" Target="https://yakeey.com/fr-ma/achat/biens/58279" TargetMode="External" Id="rId872"/><Relationship Type="http://schemas.openxmlformats.org/officeDocument/2006/relationships/hyperlink" Target="https://yakeey.com/fr-ma/achat/biens/59771" TargetMode="External" Id="rId873"/><Relationship Type="http://schemas.openxmlformats.org/officeDocument/2006/relationships/hyperlink" Target="https://yakeey.com/fr-ma/achat/biens/61500" TargetMode="External" Id="rId874"/><Relationship Type="http://schemas.openxmlformats.org/officeDocument/2006/relationships/hyperlink" Target="https://yakeey.com/fr-ma/achat/biens/62002" TargetMode="External" Id="rId875"/><Relationship Type="http://schemas.openxmlformats.org/officeDocument/2006/relationships/hyperlink" Target="https://yakeey.com/fr-ma/achat/biens/62778" TargetMode="External" Id="rId876"/><Relationship Type="http://schemas.openxmlformats.org/officeDocument/2006/relationships/hyperlink" Target="https://yakeey.com/fr-ma/achat/biens/64698" TargetMode="External" Id="rId877"/><Relationship Type="http://schemas.openxmlformats.org/officeDocument/2006/relationships/hyperlink" Target="https://yakeey.com/fr-ma/achat/biens/6857" TargetMode="External" Id="rId878"/><Relationship Type="http://schemas.openxmlformats.org/officeDocument/2006/relationships/hyperlink" Target="https://yakeey.com/fr-ma/achat/biens/6907" TargetMode="External" Id="rId879"/><Relationship Type="http://schemas.openxmlformats.org/officeDocument/2006/relationships/hyperlink" Target="https://yakeey.com/fr-ma/achat/biens/69087" TargetMode="External" Id="rId880"/><Relationship Type="http://schemas.openxmlformats.org/officeDocument/2006/relationships/hyperlink" Target="https://yakeey.com/fr-ma/achat/biens/69214" TargetMode="External" Id="rId881"/><Relationship Type="http://schemas.openxmlformats.org/officeDocument/2006/relationships/hyperlink" Target="https://yakeey.com/fr-ma/achat/biens/70462" TargetMode="External" Id="rId882"/><Relationship Type="http://schemas.openxmlformats.org/officeDocument/2006/relationships/hyperlink" Target="https://yakeey.com/fr-ma/achat/biens/71282" TargetMode="External" Id="rId883"/><Relationship Type="http://schemas.openxmlformats.org/officeDocument/2006/relationships/hyperlink" Target="https://yakeey.com/fr-ma/achat/biens/71966" TargetMode="External" Id="rId884"/><Relationship Type="http://schemas.openxmlformats.org/officeDocument/2006/relationships/hyperlink" Target="https://yakeey.com/fr-ma/achat/biens/72317" TargetMode="External" Id="rId885"/><Relationship Type="http://schemas.openxmlformats.org/officeDocument/2006/relationships/hyperlink" Target="https://yakeey.com/fr-ma/achat/biens/72319" TargetMode="External" Id="rId886"/><Relationship Type="http://schemas.openxmlformats.org/officeDocument/2006/relationships/hyperlink" Target="https://yakeey.com/fr-ma/achat/biens/74828" TargetMode="External" Id="rId887"/><Relationship Type="http://schemas.openxmlformats.org/officeDocument/2006/relationships/hyperlink" Target="https://yakeey.com/fr-ma/achat/biens/74965" TargetMode="External" Id="rId888"/><Relationship Type="http://schemas.openxmlformats.org/officeDocument/2006/relationships/hyperlink" Target="https://yakeey.com/fr-ma/achat/biens/758" TargetMode="External" Id="rId889"/><Relationship Type="http://schemas.openxmlformats.org/officeDocument/2006/relationships/hyperlink" Target="https://yakeey.com/fr-ma/achat/biens/77467" TargetMode="External" Id="rId890"/><Relationship Type="http://schemas.openxmlformats.org/officeDocument/2006/relationships/hyperlink" Target="https://yakeey.com/fr-ma/achat/biens/78450" TargetMode="External" Id="rId891"/><Relationship Type="http://schemas.openxmlformats.org/officeDocument/2006/relationships/hyperlink" Target="https://yakeey.com/fr-ma/achat/biens/78494" TargetMode="External" Id="rId892"/><Relationship Type="http://schemas.openxmlformats.org/officeDocument/2006/relationships/hyperlink" Target="https://yakeey.com/fr-ma/achat/biens/78500" TargetMode="External" Id="rId893"/><Relationship Type="http://schemas.openxmlformats.org/officeDocument/2006/relationships/hyperlink" Target="https://yakeey.com/fr-ma/achat/biens/78504" TargetMode="External" Id="rId894"/><Relationship Type="http://schemas.openxmlformats.org/officeDocument/2006/relationships/hyperlink" Target="https://yakeey.com/fr-ma/achat/biens/78518" TargetMode="External" Id="rId895"/><Relationship Type="http://schemas.openxmlformats.org/officeDocument/2006/relationships/hyperlink" Target="https://yakeey.com/fr-ma/achat/biens/79345" TargetMode="External" Id="rId896"/><Relationship Type="http://schemas.openxmlformats.org/officeDocument/2006/relationships/hyperlink" Target="https://yakeey.com/fr-ma/achat/biens/89328" TargetMode="External" Id="rId897"/><Relationship Type="http://schemas.openxmlformats.org/officeDocument/2006/relationships/hyperlink" Target="https://yakeey.com/fr-ma/achat/biens/90840" TargetMode="External" Id="rId898"/><Relationship Type="http://schemas.openxmlformats.org/officeDocument/2006/relationships/hyperlink" Target="https://yakeey.com/fr-ma/achat/biens/91085" TargetMode="External" Id="rId899"/><Relationship Type="http://schemas.openxmlformats.org/officeDocument/2006/relationships/hyperlink" Target="https://yakeey.com/fr-ma/achat/biens/91321" TargetMode="External" Id="rId900"/><Relationship Type="http://schemas.openxmlformats.org/officeDocument/2006/relationships/hyperlink" Target="https://yakeey.com/fr-ma/achat/biens/94132" TargetMode="External" Id="rId901"/><Relationship Type="http://schemas.openxmlformats.org/officeDocument/2006/relationships/hyperlink" Target="https://yakeey.com/fr-ma/achat/biens/94262" TargetMode="External" Id="rId902"/><Relationship Type="http://schemas.openxmlformats.org/officeDocument/2006/relationships/hyperlink" Target="https://yakeey.com/fr-ma/achat/biens/95487" TargetMode="External" Id="rId903"/><Relationship Type="http://schemas.openxmlformats.org/officeDocument/2006/relationships/hyperlink" Target="https://yakeey.com/fr-ma/achat/biens/96066" TargetMode="External" Id="rId904"/><Relationship Type="http://schemas.openxmlformats.org/officeDocument/2006/relationships/hyperlink" Target="https://yakeey.com/fr-ma/achat/biens/96551" TargetMode="External" Id="rId905"/><Relationship Type="http://schemas.openxmlformats.org/officeDocument/2006/relationships/hyperlink" Target="https://yakeey.com/fr-ma/achat/biens/1034" TargetMode="External" Id="rId906"/><Relationship Type="http://schemas.openxmlformats.org/officeDocument/2006/relationships/hyperlink" Target="https://yakeey.com/fr-ma/achat/biens/110977" TargetMode="External" Id="rId907"/><Relationship Type="http://schemas.openxmlformats.org/officeDocument/2006/relationships/hyperlink" Target="https://yakeey.com/fr-ma/achat/biens/116654" TargetMode="External" Id="rId908"/><Relationship Type="http://schemas.openxmlformats.org/officeDocument/2006/relationships/hyperlink" Target="https://yakeey.com/fr-ma/achat/biens/121047" TargetMode="External" Id="rId909"/><Relationship Type="http://schemas.openxmlformats.org/officeDocument/2006/relationships/hyperlink" Target="https://yakeey.com/fr-ma/achat/biens/122989" TargetMode="External" Id="rId910"/><Relationship Type="http://schemas.openxmlformats.org/officeDocument/2006/relationships/hyperlink" Target="https://yakeey.com/fr-ma/achat/biens/125045" TargetMode="External" Id="rId911"/><Relationship Type="http://schemas.openxmlformats.org/officeDocument/2006/relationships/hyperlink" Target="https://yakeey.com/fr-ma/achat/biens/127791" TargetMode="External" Id="rId912"/><Relationship Type="http://schemas.openxmlformats.org/officeDocument/2006/relationships/hyperlink" Target="https://yakeey.com/fr-ma/achat/biens/139028" TargetMode="External" Id="rId913"/><Relationship Type="http://schemas.openxmlformats.org/officeDocument/2006/relationships/hyperlink" Target="https://yakeey.com/fr-ma/achat/biens/146269" TargetMode="External" Id="rId914"/><Relationship Type="http://schemas.openxmlformats.org/officeDocument/2006/relationships/hyperlink" Target="https://yakeey.com/fr-ma/achat/biens/146323" TargetMode="External" Id="rId915"/><Relationship Type="http://schemas.openxmlformats.org/officeDocument/2006/relationships/hyperlink" Target="https://yakeey.com/fr-ma/achat/biens/146493" TargetMode="External" Id="rId916"/><Relationship Type="http://schemas.openxmlformats.org/officeDocument/2006/relationships/hyperlink" Target="https://yakeey.com/fr-ma/achat/biens/160792" TargetMode="External" Id="rId917"/><Relationship Type="http://schemas.openxmlformats.org/officeDocument/2006/relationships/hyperlink" Target="https://yakeey.com/fr-ma/achat/biens/161964" TargetMode="External" Id="rId918"/><Relationship Type="http://schemas.openxmlformats.org/officeDocument/2006/relationships/hyperlink" Target="https://yakeey.com/fr-ma/achat/biens/169690" TargetMode="External" Id="rId919"/><Relationship Type="http://schemas.openxmlformats.org/officeDocument/2006/relationships/hyperlink" Target="https://yakeey.com/fr-ma/achat/biens/170465" TargetMode="External" Id="rId920"/><Relationship Type="http://schemas.openxmlformats.org/officeDocument/2006/relationships/hyperlink" Target="https://yakeey.com/fr-ma/achat/biens/170469" TargetMode="External" Id="rId921"/><Relationship Type="http://schemas.openxmlformats.org/officeDocument/2006/relationships/hyperlink" Target="https://yakeey.com/fr-ma/achat/biens/174127" TargetMode="External" Id="rId922"/><Relationship Type="http://schemas.openxmlformats.org/officeDocument/2006/relationships/hyperlink" Target="https://yakeey.com/fr-ma/achat/biens/176309" TargetMode="External" Id="rId923"/><Relationship Type="http://schemas.openxmlformats.org/officeDocument/2006/relationships/hyperlink" Target="https://yakeey.com/fr-ma/achat/biens/177685" TargetMode="External" Id="rId924"/><Relationship Type="http://schemas.openxmlformats.org/officeDocument/2006/relationships/hyperlink" Target="https://yakeey.com/fr-ma/achat/biens/180964" TargetMode="External" Id="rId925"/><Relationship Type="http://schemas.openxmlformats.org/officeDocument/2006/relationships/hyperlink" Target="https://yakeey.com/fr-ma/achat/biens/185391" TargetMode="External" Id="rId926"/><Relationship Type="http://schemas.openxmlformats.org/officeDocument/2006/relationships/hyperlink" Target="https://yakeey.com/fr-ma/achat/biens/187042" TargetMode="External" Id="rId927"/><Relationship Type="http://schemas.openxmlformats.org/officeDocument/2006/relationships/hyperlink" Target="https://yakeey.com/fr-ma/achat/biens/187812" TargetMode="External" Id="rId928"/><Relationship Type="http://schemas.openxmlformats.org/officeDocument/2006/relationships/hyperlink" Target="https://yakeey.com/fr-ma/achat/biens/21522" TargetMode="External" Id="rId929"/><Relationship Type="http://schemas.openxmlformats.org/officeDocument/2006/relationships/hyperlink" Target="https://yakeey.com/fr-ma/achat/biens/26637" TargetMode="External" Id="rId930"/><Relationship Type="http://schemas.openxmlformats.org/officeDocument/2006/relationships/hyperlink" Target="https://yakeey.com/fr-ma/achat/biens/31592" TargetMode="External" Id="rId931"/><Relationship Type="http://schemas.openxmlformats.org/officeDocument/2006/relationships/hyperlink" Target="https://yakeey.com/fr-ma/achat/biens/47114" TargetMode="External" Id="rId932"/><Relationship Type="http://schemas.openxmlformats.org/officeDocument/2006/relationships/hyperlink" Target="https://yakeey.com/fr-ma/achat/biens/57220" TargetMode="External" Id="rId933"/><Relationship Type="http://schemas.openxmlformats.org/officeDocument/2006/relationships/hyperlink" Target="https://yakeey.com/fr-ma/achat/biens/59645" TargetMode="External" Id="rId934"/><Relationship Type="http://schemas.openxmlformats.org/officeDocument/2006/relationships/hyperlink" Target="https://yakeey.com/fr-ma/achat/biens/61163" TargetMode="External" Id="rId935"/><Relationship Type="http://schemas.openxmlformats.org/officeDocument/2006/relationships/hyperlink" Target="https://yakeey.com/fr-ma/achat/biens/61259" TargetMode="External" Id="rId936"/><Relationship Type="http://schemas.openxmlformats.org/officeDocument/2006/relationships/hyperlink" Target="https://yakeey.com/fr-ma/achat/biens/61833" TargetMode="External" Id="rId937"/><Relationship Type="http://schemas.openxmlformats.org/officeDocument/2006/relationships/hyperlink" Target="https://yakeey.com/fr-ma/achat/biens/63065" TargetMode="External" Id="rId938"/><Relationship Type="http://schemas.openxmlformats.org/officeDocument/2006/relationships/hyperlink" Target="https://yakeey.com/fr-ma/achat/biens/6551" TargetMode="External" Id="rId939"/><Relationship Type="http://schemas.openxmlformats.org/officeDocument/2006/relationships/hyperlink" Target="https://yakeey.com/fr-ma/achat/biens/78952" TargetMode="External" Id="rId940"/><Relationship Type="http://schemas.openxmlformats.org/officeDocument/2006/relationships/hyperlink" Target="https://yakeey.com/fr-ma/achat/biens/81754" TargetMode="External" Id="rId941"/><Relationship Type="http://schemas.openxmlformats.org/officeDocument/2006/relationships/hyperlink" Target="https://yakeey.com/fr-ma/achat/biens/88298" TargetMode="External" Id="rId942"/><Relationship Type="http://schemas.openxmlformats.org/officeDocument/2006/relationships/hyperlink" Target="https://yakeey.com/fr-ma/achat/biens/141863" TargetMode="External" Id="rId943"/><Relationship Type="http://schemas.openxmlformats.org/officeDocument/2006/relationships/hyperlink" Target="https://yakeey.com/fr-ma/achat/biens/142052" TargetMode="External" Id="rId944"/><Relationship Type="http://schemas.openxmlformats.org/officeDocument/2006/relationships/hyperlink" Target="https://yakeey.com/fr-ma/achat/biens/142627" TargetMode="External" Id="rId945"/><Relationship Type="http://schemas.openxmlformats.org/officeDocument/2006/relationships/hyperlink" Target="https://yakeey.com/fr-ma/achat/biens/152476" TargetMode="External" Id="rId946"/><Relationship Type="http://schemas.openxmlformats.org/officeDocument/2006/relationships/hyperlink" Target="https://yakeey.com/fr-ma/achat/biens/170737" TargetMode="External" Id="rId947"/><Relationship Type="http://schemas.openxmlformats.org/officeDocument/2006/relationships/hyperlink" Target="https://yakeey.com/fr-ma/achat/biens/178653" TargetMode="External" Id="rId948"/><Relationship Type="http://schemas.openxmlformats.org/officeDocument/2006/relationships/hyperlink" Target="https://yakeey.com/fr-ma/achat/biens/181762" TargetMode="External" Id="rId949"/><Relationship Type="http://schemas.openxmlformats.org/officeDocument/2006/relationships/hyperlink" Target="https://yakeey.com/fr-ma/achat/biens/184816" TargetMode="External" Id="rId950"/><Relationship Type="http://schemas.openxmlformats.org/officeDocument/2006/relationships/hyperlink" Target="https://yakeey.com/fr-ma/achat/biens/187265" TargetMode="External" Id="rId951"/><Relationship Type="http://schemas.openxmlformats.org/officeDocument/2006/relationships/hyperlink" Target="https://yakeey.com/fr-ma/achat/biens/187759" TargetMode="External" Id="rId952"/><Relationship Type="http://schemas.openxmlformats.org/officeDocument/2006/relationships/hyperlink" Target="https://yakeey.com/fr-ma/achat/biens/187885" TargetMode="External" Id="rId953"/><Relationship Type="http://schemas.openxmlformats.org/officeDocument/2006/relationships/hyperlink" Target="https://yakeey.com/fr-ma/achat/biens/188003" TargetMode="External" Id="rId954"/><Relationship Type="http://schemas.openxmlformats.org/officeDocument/2006/relationships/hyperlink" Target="https://yakeey.com/fr-ma/achat/biens/188064" TargetMode="External" Id="rId955"/><Relationship Type="http://schemas.openxmlformats.org/officeDocument/2006/relationships/hyperlink" Target="https://yakeey.com/fr-ma/achat/biens/188471" TargetMode="External" Id="rId956"/><Relationship Type="http://schemas.openxmlformats.org/officeDocument/2006/relationships/hyperlink" Target="https://yakeey.com/fr-ma/achat/biens/188472" TargetMode="External" Id="rId957"/><Relationship Type="http://schemas.openxmlformats.org/officeDocument/2006/relationships/hyperlink" Target="https://yakeey.com/fr-ma/achat/biens/188863" TargetMode="External" Id="rId958"/><Relationship Type="http://schemas.openxmlformats.org/officeDocument/2006/relationships/hyperlink" Target="https://yakeey.com/fr-ma/achat/biens/189259" TargetMode="External" Id="rId959"/><Relationship Type="http://schemas.openxmlformats.org/officeDocument/2006/relationships/hyperlink" Target="https://yakeey.com/fr-ma/achat/biens/189305" TargetMode="External" Id="rId960"/><Relationship Type="http://schemas.openxmlformats.org/officeDocument/2006/relationships/hyperlink" Target="https://yakeey.com/fr-ma/achat/biens/189401" TargetMode="External" Id="rId961"/><Relationship Type="http://schemas.openxmlformats.org/officeDocument/2006/relationships/hyperlink" Target="https://yakeey.com/fr-ma/achat/biens/189515" TargetMode="External" Id="rId962"/><Relationship Type="http://schemas.openxmlformats.org/officeDocument/2006/relationships/hyperlink" Target="https://yakeey.com/fr-ma/achat/biens/189596" TargetMode="External" Id="rId963"/><Relationship Type="http://schemas.openxmlformats.org/officeDocument/2006/relationships/hyperlink" Target="https://yakeey.com/fr-ma/achat/biens/189664" TargetMode="External" Id="rId964"/><Relationship Type="http://schemas.openxmlformats.org/officeDocument/2006/relationships/hyperlink" Target="https://yakeey.com/fr-ma/achat/biens/189669" TargetMode="External" Id="rId965"/><Relationship Type="http://schemas.openxmlformats.org/officeDocument/2006/relationships/hyperlink" Target="https://yakeey.com/fr-ma/achat/biens/189685" TargetMode="External" Id="rId966"/><Relationship Type="http://schemas.openxmlformats.org/officeDocument/2006/relationships/hyperlink" Target="https://yakeey.com/fr-ma/achat/biens/189791" TargetMode="External" Id="rId967"/><Relationship Type="http://schemas.openxmlformats.org/officeDocument/2006/relationships/hyperlink" Target="https://yakeey.com/fr-ma/achat/biens/189900" TargetMode="External" Id="rId968"/><Relationship Type="http://schemas.openxmlformats.org/officeDocument/2006/relationships/hyperlink" Target="https://yakeey.com/fr-ma/achat/biens/187340" TargetMode="External" Id="rId969"/><Relationship Type="http://schemas.openxmlformats.org/officeDocument/2006/relationships/hyperlink" Target="https://yakeey.com/fr-ma/achat/biens/187893" TargetMode="External" Id="rId970"/><Relationship Type="http://schemas.openxmlformats.org/officeDocument/2006/relationships/hyperlink" Target="https://yakeey.com/fr-ma/achat/biens/188341" TargetMode="External" Id="rId971"/><Relationship Type="http://schemas.openxmlformats.org/officeDocument/2006/relationships/hyperlink" Target="https://yakeey.com/fr-ma/achat/biens/142439" TargetMode="External" Id="rId972"/><Relationship Type="http://schemas.openxmlformats.org/officeDocument/2006/relationships/hyperlink" Target="https://yakeey.com/fr-ma/achat/biens/155038" TargetMode="External" Id="rId973"/><Relationship Type="http://schemas.openxmlformats.org/officeDocument/2006/relationships/hyperlink" Target="https://yakeey.com/fr-ma/achat/biens/101337" TargetMode="External" Id="rId974"/><Relationship Type="http://schemas.openxmlformats.org/officeDocument/2006/relationships/hyperlink" Target="https://yakeey.com/fr-ma/achat/biens/106707" TargetMode="External" Id="rId975"/><Relationship Type="http://schemas.openxmlformats.org/officeDocument/2006/relationships/hyperlink" Target="https://yakeey.com/fr-ma/achat/biens/10843" TargetMode="External" Id="rId976"/><Relationship Type="http://schemas.openxmlformats.org/officeDocument/2006/relationships/hyperlink" Target="https://yakeey.com/fr-ma/achat/biens/108456" TargetMode="External" Id="rId977"/><Relationship Type="http://schemas.openxmlformats.org/officeDocument/2006/relationships/hyperlink" Target="https://yakeey.com/fr-ma/achat/biens/113523" TargetMode="External" Id="rId978"/><Relationship Type="http://schemas.openxmlformats.org/officeDocument/2006/relationships/hyperlink" Target="https://yakeey.com/fr-ma/achat/biens/116763" TargetMode="External" Id="rId979"/><Relationship Type="http://schemas.openxmlformats.org/officeDocument/2006/relationships/hyperlink" Target="https://yakeey.com/fr-ma/achat/biens/117357" TargetMode="External" Id="rId980"/><Relationship Type="http://schemas.openxmlformats.org/officeDocument/2006/relationships/hyperlink" Target="https://yakeey.com/fr-ma/achat/biens/119737" TargetMode="External" Id="rId981"/><Relationship Type="http://schemas.openxmlformats.org/officeDocument/2006/relationships/hyperlink" Target="https://yakeey.com/fr-ma/achat/biens/123499" TargetMode="External" Id="rId982"/><Relationship Type="http://schemas.openxmlformats.org/officeDocument/2006/relationships/hyperlink" Target="https://yakeey.com/fr-ma/achat/biens/124638" TargetMode="External" Id="rId983"/><Relationship Type="http://schemas.openxmlformats.org/officeDocument/2006/relationships/hyperlink" Target="https://yakeey.com/fr-ma/achat/biens/126023" TargetMode="External" Id="rId984"/><Relationship Type="http://schemas.openxmlformats.org/officeDocument/2006/relationships/hyperlink" Target="https://yakeey.com/fr-ma/achat/biens/127050" TargetMode="External" Id="rId985"/><Relationship Type="http://schemas.openxmlformats.org/officeDocument/2006/relationships/hyperlink" Target="https://yakeey.com/fr-ma/achat/biens/137437" TargetMode="External" Id="rId986"/><Relationship Type="http://schemas.openxmlformats.org/officeDocument/2006/relationships/hyperlink" Target="https://yakeey.com/fr-ma/achat/biens/142796" TargetMode="External" Id="rId987"/><Relationship Type="http://schemas.openxmlformats.org/officeDocument/2006/relationships/hyperlink" Target="https://yakeey.com/fr-ma/achat/biens/143158" TargetMode="External" Id="rId988"/><Relationship Type="http://schemas.openxmlformats.org/officeDocument/2006/relationships/hyperlink" Target="https://yakeey.com/fr-ma/achat/biens/143162" TargetMode="External" Id="rId989"/><Relationship Type="http://schemas.openxmlformats.org/officeDocument/2006/relationships/hyperlink" Target="https://yakeey.com/fr-ma/achat/biens/150539" TargetMode="External" Id="rId990"/><Relationship Type="http://schemas.openxmlformats.org/officeDocument/2006/relationships/hyperlink" Target="https://yakeey.com/fr-ma/achat/biens/152889" TargetMode="External" Id="rId991"/><Relationship Type="http://schemas.openxmlformats.org/officeDocument/2006/relationships/hyperlink" Target="https://yakeey.com/fr-ma/achat/biens/153922" TargetMode="External" Id="rId992"/><Relationship Type="http://schemas.openxmlformats.org/officeDocument/2006/relationships/hyperlink" Target="https://yakeey.com/fr-ma/achat/biens/154437" TargetMode="External" Id="rId993"/><Relationship Type="http://schemas.openxmlformats.org/officeDocument/2006/relationships/hyperlink" Target="https://yakeey.com/fr-ma/achat/biens/161069" TargetMode="External" Id="rId994"/><Relationship Type="http://schemas.openxmlformats.org/officeDocument/2006/relationships/hyperlink" Target="https://yakeey.com/fr-ma/achat/biens/167503" TargetMode="External" Id="rId995"/><Relationship Type="http://schemas.openxmlformats.org/officeDocument/2006/relationships/hyperlink" Target="https://yakeey.com/fr-ma/achat/biens/171646" TargetMode="External" Id="rId996"/><Relationship Type="http://schemas.openxmlformats.org/officeDocument/2006/relationships/hyperlink" Target="https://yakeey.com/fr-ma/achat/biens/171807" TargetMode="External" Id="rId997"/><Relationship Type="http://schemas.openxmlformats.org/officeDocument/2006/relationships/hyperlink" Target="https://yakeey.com/fr-ma/achat/biens/172113" TargetMode="External" Id="rId998"/><Relationship Type="http://schemas.openxmlformats.org/officeDocument/2006/relationships/hyperlink" Target="https://yakeey.com/fr-ma/achat/biens/173900" TargetMode="External" Id="rId999"/><Relationship Type="http://schemas.openxmlformats.org/officeDocument/2006/relationships/hyperlink" Target="https://yakeey.com/fr-ma/achat/biens/173958" TargetMode="External" Id="rId1000"/><Relationship Type="http://schemas.openxmlformats.org/officeDocument/2006/relationships/hyperlink" Target="https://yakeey.com/fr-ma/achat/biens/175903" TargetMode="External" Id="rId1001"/><Relationship Type="http://schemas.openxmlformats.org/officeDocument/2006/relationships/hyperlink" Target="https://yakeey.com/fr-ma/achat/biens/176003" TargetMode="External" Id="rId1002"/><Relationship Type="http://schemas.openxmlformats.org/officeDocument/2006/relationships/hyperlink" Target="https://yakeey.com/fr-ma/achat/biens/177161" TargetMode="External" Id="rId1003"/><Relationship Type="http://schemas.openxmlformats.org/officeDocument/2006/relationships/hyperlink" Target="https://yakeey.com/fr-ma/achat/biens/177279" TargetMode="External" Id="rId1004"/><Relationship Type="http://schemas.openxmlformats.org/officeDocument/2006/relationships/hyperlink" Target="https://yakeey.com/fr-ma/achat/biens/178131" TargetMode="External" Id="rId1005"/><Relationship Type="http://schemas.openxmlformats.org/officeDocument/2006/relationships/hyperlink" Target="https://yakeey.com/fr-ma/achat/biens/178306" TargetMode="External" Id="rId1006"/><Relationship Type="http://schemas.openxmlformats.org/officeDocument/2006/relationships/hyperlink" Target="https://yakeey.com/fr-ma/achat/biens/180372" TargetMode="External" Id="rId1007"/><Relationship Type="http://schemas.openxmlformats.org/officeDocument/2006/relationships/hyperlink" Target="https://yakeey.com/fr-ma/achat/biens/184846" TargetMode="External" Id="rId1008"/><Relationship Type="http://schemas.openxmlformats.org/officeDocument/2006/relationships/hyperlink" Target="https://yakeey.com/fr-ma/achat/biens/184848" TargetMode="External" Id="rId1009"/><Relationship Type="http://schemas.openxmlformats.org/officeDocument/2006/relationships/hyperlink" Target="https://yakeey.com/fr-ma/achat/biens/186632" TargetMode="External" Id="rId1010"/><Relationship Type="http://schemas.openxmlformats.org/officeDocument/2006/relationships/hyperlink" Target="https://yakeey.com/fr-ma/achat/biens/186635" TargetMode="External" Id="rId1011"/><Relationship Type="http://schemas.openxmlformats.org/officeDocument/2006/relationships/hyperlink" Target="https://yakeey.com/fr-ma/achat/biens/187887" TargetMode="External" Id="rId1012"/><Relationship Type="http://schemas.openxmlformats.org/officeDocument/2006/relationships/hyperlink" Target="https://yakeey.com/fr-ma/achat/biens/188837" TargetMode="External" Id="rId1013"/><Relationship Type="http://schemas.openxmlformats.org/officeDocument/2006/relationships/hyperlink" Target="https://yakeey.com/fr-ma/achat/biens/189706" TargetMode="External" Id="rId1014"/><Relationship Type="http://schemas.openxmlformats.org/officeDocument/2006/relationships/hyperlink" Target="https://yakeey.com/fr-ma/achat/biens/19518" TargetMode="External" Id="rId1015"/><Relationship Type="http://schemas.openxmlformats.org/officeDocument/2006/relationships/hyperlink" Target="https://yakeey.com/fr-ma/achat/biens/21239" TargetMode="External" Id="rId1016"/><Relationship Type="http://schemas.openxmlformats.org/officeDocument/2006/relationships/hyperlink" Target="https://yakeey.com/fr-ma/achat/biens/25329" TargetMode="External" Id="rId1017"/><Relationship Type="http://schemas.openxmlformats.org/officeDocument/2006/relationships/hyperlink" Target="https://yakeey.com/fr-ma/achat/biens/25333" TargetMode="External" Id="rId1018"/><Relationship Type="http://schemas.openxmlformats.org/officeDocument/2006/relationships/hyperlink" Target="https://yakeey.com/fr-ma/achat/biens/3353" TargetMode="External" Id="rId1019"/><Relationship Type="http://schemas.openxmlformats.org/officeDocument/2006/relationships/hyperlink" Target="https://yakeey.com/fr-ma/achat/biens/35384" TargetMode="External" Id="rId1020"/><Relationship Type="http://schemas.openxmlformats.org/officeDocument/2006/relationships/hyperlink" Target="https://yakeey.com/fr-ma/achat/biens/38739" TargetMode="External" Id="rId1021"/><Relationship Type="http://schemas.openxmlformats.org/officeDocument/2006/relationships/hyperlink" Target="https://yakeey.com/fr-ma/achat/biens/39030" TargetMode="External" Id="rId1022"/><Relationship Type="http://schemas.openxmlformats.org/officeDocument/2006/relationships/hyperlink" Target="https://yakeey.com/fr-ma/achat/biens/46782" TargetMode="External" Id="rId1023"/><Relationship Type="http://schemas.openxmlformats.org/officeDocument/2006/relationships/hyperlink" Target="https://yakeey.com/fr-ma/achat/biens/48502" TargetMode="External" Id="rId1024"/><Relationship Type="http://schemas.openxmlformats.org/officeDocument/2006/relationships/hyperlink" Target="https://yakeey.com/fr-ma/achat/biens/51049" TargetMode="External" Id="rId1025"/><Relationship Type="http://schemas.openxmlformats.org/officeDocument/2006/relationships/hyperlink" Target="https://yakeey.com/fr-ma/achat/biens/53132" TargetMode="External" Id="rId1026"/><Relationship Type="http://schemas.openxmlformats.org/officeDocument/2006/relationships/hyperlink" Target="https://yakeey.com/fr-ma/achat/biens/57330" TargetMode="External" Id="rId1027"/><Relationship Type="http://schemas.openxmlformats.org/officeDocument/2006/relationships/hyperlink" Target="https://yakeey.com/fr-ma/achat/biens/57925" TargetMode="External" Id="rId1028"/><Relationship Type="http://schemas.openxmlformats.org/officeDocument/2006/relationships/hyperlink" Target="https://yakeey.com/fr-ma/achat/biens/57979" TargetMode="External" Id="rId1029"/><Relationship Type="http://schemas.openxmlformats.org/officeDocument/2006/relationships/hyperlink" Target="https://yakeey.com/fr-ma/achat/biens/62053" TargetMode="External" Id="rId1030"/><Relationship Type="http://schemas.openxmlformats.org/officeDocument/2006/relationships/hyperlink" Target="https://yakeey.com/fr-ma/achat/biens/64640" TargetMode="External" Id="rId1031"/><Relationship Type="http://schemas.openxmlformats.org/officeDocument/2006/relationships/hyperlink" Target="https://yakeey.com/fr-ma/achat/biens/64789" TargetMode="External" Id="rId1032"/><Relationship Type="http://schemas.openxmlformats.org/officeDocument/2006/relationships/hyperlink" Target="https://yakeey.com/fr-ma/achat/biens/67721" TargetMode="External" Id="rId1033"/><Relationship Type="http://schemas.openxmlformats.org/officeDocument/2006/relationships/hyperlink" Target="https://yakeey.com/fr-ma/achat/biens/719" TargetMode="External" Id="rId1034"/><Relationship Type="http://schemas.openxmlformats.org/officeDocument/2006/relationships/hyperlink" Target="https://yakeey.com/fr-ma/achat/biens/75519" TargetMode="External" Id="rId1035"/><Relationship Type="http://schemas.openxmlformats.org/officeDocument/2006/relationships/hyperlink" Target="https://yakeey.com/fr-ma/achat/biens/83273" TargetMode="External" Id="rId1036"/><Relationship Type="http://schemas.openxmlformats.org/officeDocument/2006/relationships/hyperlink" Target="https://yakeey.com/fr-ma/achat/biens/87770" TargetMode="External" Id="rId1037"/><Relationship Type="http://schemas.openxmlformats.org/officeDocument/2006/relationships/hyperlink" Target="https://yakeey.com/fr-ma/achat/biens/88091" TargetMode="External" Id="rId1038"/><Relationship Type="http://schemas.openxmlformats.org/officeDocument/2006/relationships/hyperlink" Target="https://yakeey.com/fr-ma/achat/biens/PN000340" TargetMode="External" Id="rId1039"/><Relationship Type="http://schemas.openxmlformats.org/officeDocument/2006/relationships/hyperlink" Target="https://yakeey.com/fr-ma/achat/biens/PN000358" TargetMode="External" Id="rId1040"/><Relationship Type="http://schemas.openxmlformats.org/officeDocument/2006/relationships/hyperlink" Target="https://yakeey.com/fr-ma/achat/biens/PN000389" TargetMode="External" Id="rId1041"/><Relationship Type="http://schemas.openxmlformats.org/officeDocument/2006/relationships/hyperlink" Target="https://yakeey.com/fr-ma/achat/biens/PN000400" TargetMode="External" Id="rId1042"/><Relationship Type="http://schemas.openxmlformats.org/officeDocument/2006/relationships/hyperlink" Target="https://yakeey.com/fr-ma/achat/biens/PN000407" TargetMode="External" Id="rId1043"/><Relationship Type="http://schemas.openxmlformats.org/officeDocument/2006/relationships/hyperlink" Target="https://yakeey.com/fr-ma/achat/biens/PN000418" TargetMode="External" Id="rId1044"/><Relationship Type="http://schemas.openxmlformats.org/officeDocument/2006/relationships/hyperlink" Target="https://yakeey.com/fr-ma/achat/biens/PN000425" TargetMode="External" Id="rId1045"/><Relationship Type="http://schemas.openxmlformats.org/officeDocument/2006/relationships/hyperlink" Target="https://yakeey.com/fr-ma/achat/biens/PN000325" TargetMode="External" Id="rId1046"/><Relationship Type="http://schemas.openxmlformats.org/officeDocument/2006/relationships/hyperlink" Target="https://yakeey.com/fr-ma/achat/biens/PN000326" TargetMode="External" Id="rId1047"/><Relationship Type="http://schemas.openxmlformats.org/officeDocument/2006/relationships/hyperlink" Target="https://yakeey.com/fr-ma/achat/biens/PN000329" TargetMode="External" Id="rId1048"/><Relationship Type="http://schemas.openxmlformats.org/officeDocument/2006/relationships/hyperlink" Target="https://yakeey.com/fr-ma/achat/biens/PN000331" TargetMode="External" Id="rId1049"/><Relationship Type="http://schemas.openxmlformats.org/officeDocument/2006/relationships/hyperlink" Target="https://yakeey.com/fr-ma/achat/biens/PN000332" TargetMode="External" Id="rId1050"/><Relationship Type="http://schemas.openxmlformats.org/officeDocument/2006/relationships/hyperlink" Target="https://yakeey.com/fr-ma/achat/biens/PN000337" TargetMode="External" Id="rId1051"/><Relationship Type="http://schemas.openxmlformats.org/officeDocument/2006/relationships/hyperlink" Target="https://yakeey.com/fr-ma/achat/biens/PN000338" TargetMode="External" Id="rId1052"/><Relationship Type="http://schemas.openxmlformats.org/officeDocument/2006/relationships/hyperlink" Target="https://yakeey.com/fr-ma/achat/biens/PN000339" TargetMode="External" Id="rId1053"/><Relationship Type="http://schemas.openxmlformats.org/officeDocument/2006/relationships/hyperlink" Target="https://yakeey.com/fr-ma/achat/biens/PN000342" TargetMode="External" Id="rId1054"/><Relationship Type="http://schemas.openxmlformats.org/officeDocument/2006/relationships/hyperlink" Target="https://yakeey.com/fr-ma/achat/biens/PN000343" TargetMode="External" Id="rId1055"/><Relationship Type="http://schemas.openxmlformats.org/officeDocument/2006/relationships/hyperlink" Target="https://yakeey.com/fr-ma/achat/biens/PN000350" TargetMode="External" Id="rId1056"/><Relationship Type="http://schemas.openxmlformats.org/officeDocument/2006/relationships/hyperlink" Target="https://yakeey.com/fr-ma/achat/biens/PN000355" TargetMode="External" Id="rId1057"/><Relationship Type="http://schemas.openxmlformats.org/officeDocument/2006/relationships/hyperlink" Target="https://yakeey.com/fr-ma/achat/biens/PN000356" TargetMode="External" Id="rId1058"/><Relationship Type="http://schemas.openxmlformats.org/officeDocument/2006/relationships/hyperlink" Target="https://yakeey.com/fr-ma/achat/biens/PN000357" TargetMode="External" Id="rId1059"/><Relationship Type="http://schemas.openxmlformats.org/officeDocument/2006/relationships/hyperlink" Target="https://yakeey.com/fr-ma/achat/biens/PN000359" TargetMode="External" Id="rId1060"/><Relationship Type="http://schemas.openxmlformats.org/officeDocument/2006/relationships/hyperlink" Target="https://yakeey.com/fr-ma/achat/biens/PN000361" TargetMode="External" Id="rId1061"/><Relationship Type="http://schemas.openxmlformats.org/officeDocument/2006/relationships/hyperlink" Target="https://yakeey.com/fr-ma/achat/biens/PN000372" TargetMode="External" Id="rId1062"/><Relationship Type="http://schemas.openxmlformats.org/officeDocument/2006/relationships/hyperlink" Target="https://yakeey.com/fr-ma/achat/biens/PN000375" TargetMode="External" Id="rId1063"/><Relationship Type="http://schemas.openxmlformats.org/officeDocument/2006/relationships/hyperlink" Target="https://yakeey.com/fr-ma/achat/biens/PN000381" TargetMode="External" Id="rId1064"/><Relationship Type="http://schemas.openxmlformats.org/officeDocument/2006/relationships/hyperlink" Target="https://yakeey.com/fr-ma/achat/biens/PN000383" TargetMode="External" Id="rId1065"/><Relationship Type="http://schemas.openxmlformats.org/officeDocument/2006/relationships/hyperlink" Target="https://yakeey.com/fr-ma/achat/biens/PN000387" TargetMode="External" Id="rId1066"/><Relationship Type="http://schemas.openxmlformats.org/officeDocument/2006/relationships/hyperlink" Target="https://yakeey.com/fr-ma/achat/biens/PN000390" TargetMode="External" Id="rId1067"/><Relationship Type="http://schemas.openxmlformats.org/officeDocument/2006/relationships/hyperlink" Target="https://yakeey.com/fr-ma/achat/biens/PN000392" TargetMode="External" Id="rId1068"/><Relationship Type="http://schemas.openxmlformats.org/officeDocument/2006/relationships/hyperlink" Target="https://yakeey.com/fr-ma/achat/biens/PN000401" TargetMode="External" Id="rId1069"/><Relationship Type="http://schemas.openxmlformats.org/officeDocument/2006/relationships/hyperlink" Target="https://yakeey.com/fr-ma/achat/biens/PN000402" TargetMode="External" Id="rId1070"/><Relationship Type="http://schemas.openxmlformats.org/officeDocument/2006/relationships/hyperlink" Target="https://yakeey.com/fr-ma/achat/biens/PN000404" TargetMode="External" Id="rId1071"/><Relationship Type="http://schemas.openxmlformats.org/officeDocument/2006/relationships/hyperlink" Target="https://yakeey.com/fr-ma/achat/biens/PN000406" TargetMode="External" Id="rId1072"/><Relationship Type="http://schemas.openxmlformats.org/officeDocument/2006/relationships/hyperlink" Target="https://yakeey.com/fr-ma/achat/biens/PN000408" TargetMode="External" Id="rId1073"/><Relationship Type="http://schemas.openxmlformats.org/officeDocument/2006/relationships/hyperlink" Target="https://yakeey.com/fr-ma/achat/biens/PN000410" TargetMode="External" Id="rId1074"/><Relationship Type="http://schemas.openxmlformats.org/officeDocument/2006/relationships/hyperlink" Target="https://yakeey.com/fr-ma/achat/biens/PN000417" TargetMode="External" Id="rId1075"/><Relationship Type="http://schemas.openxmlformats.org/officeDocument/2006/relationships/hyperlink" Target="https://yakeey.com/fr-ma/achat/biens/PN000419" TargetMode="External" Id="rId1076"/><Relationship Type="http://schemas.openxmlformats.org/officeDocument/2006/relationships/hyperlink" Target="https://yakeey.com/fr-ma/achat/biens/PN000421" TargetMode="External" Id="rId1077"/><Relationship Type="http://schemas.openxmlformats.org/officeDocument/2006/relationships/hyperlink" Target="https://yakeey.com/fr-ma/achat/biens/PN000368" TargetMode="External" Id="rId1078"/><Relationship Type="http://schemas.openxmlformats.org/officeDocument/2006/relationships/hyperlink" Target="https://yakeey.com/fr-ma/achat/biens/PN000395" TargetMode="External" Id="rId1079"/><Relationship Type="http://schemas.openxmlformats.org/officeDocument/2006/relationships/hyperlink" Target="https://yakeey.com/fr-ma/achat/biens/PN000399" TargetMode="External" Id="rId1080"/><Relationship Type="http://schemas.openxmlformats.org/officeDocument/2006/relationships/hyperlink" Target="https://yakeey.com/fr-ma/achat/biens/PN000422" TargetMode="External" Id="rId1081"/><Relationship Type="http://schemas.openxmlformats.org/officeDocument/2006/relationships/hyperlink" Target="https://yakeey.com/fr-ma/achat/biens/PN000333" TargetMode="External" Id="rId1082"/><Relationship Type="http://schemas.openxmlformats.org/officeDocument/2006/relationships/hyperlink" Target="https://yakeey.com/fr-ma/achat/biens/PN000335" TargetMode="External" Id="rId1083"/><Relationship Type="http://schemas.openxmlformats.org/officeDocument/2006/relationships/hyperlink" Target="https://yakeey.com/fr-ma/achat/biens/PN000405" TargetMode="External" Id="rId1084"/><Relationship Type="http://schemas.openxmlformats.org/officeDocument/2006/relationships/hyperlink" Target="https://yakeey.com/fr-ma/achat/biens/126581" TargetMode="External" Id="rId1085"/><Relationship Type="http://schemas.openxmlformats.org/officeDocument/2006/relationships/hyperlink" Target="https://yakeey.com/fr-ma/achat/biens/135416" TargetMode="External" Id="rId1086"/><Relationship Type="http://schemas.openxmlformats.org/officeDocument/2006/relationships/hyperlink" Target="https://yakeey.com/fr-ma/achat/biens/150661" TargetMode="External" Id="rId1087"/><Relationship Type="http://schemas.openxmlformats.org/officeDocument/2006/relationships/hyperlink" Target="https://yakeey.com/fr-ma/achat/biens/171063" TargetMode="External" Id="rId1088"/><Relationship Type="http://schemas.openxmlformats.org/officeDocument/2006/relationships/hyperlink" Target="https://yakeey.com/fr-ma/achat/biens/174593" TargetMode="External" Id="rId1089"/><Relationship Type="http://schemas.openxmlformats.org/officeDocument/2006/relationships/hyperlink" Target="https://yakeey.com/fr-ma/achat/biens/187860" TargetMode="External" Id="rId1090"/><Relationship Type="http://schemas.openxmlformats.org/officeDocument/2006/relationships/hyperlink" Target="https://yakeey.com/fr-ma/achat/biens/12319" TargetMode="External" Id="rId1091"/><Relationship Type="http://schemas.openxmlformats.org/officeDocument/2006/relationships/hyperlink" Target="https://yakeey.com/fr-ma/achat/biens/12320" TargetMode="External" Id="rId1092"/><Relationship Type="http://schemas.openxmlformats.org/officeDocument/2006/relationships/hyperlink" Target="https://yakeey.com/fr-ma/achat/biens/125978" TargetMode="External" Id="rId1093"/><Relationship Type="http://schemas.openxmlformats.org/officeDocument/2006/relationships/hyperlink" Target="https://yakeey.com/fr-ma/achat/biens/126249" TargetMode="External" Id="rId1094"/><Relationship Type="http://schemas.openxmlformats.org/officeDocument/2006/relationships/hyperlink" Target="https://yakeey.com/fr-ma/achat/biens/135257" TargetMode="External" Id="rId1095"/><Relationship Type="http://schemas.openxmlformats.org/officeDocument/2006/relationships/hyperlink" Target="https://yakeey.com/fr-ma/achat/biens/15132" TargetMode="External" Id="rId1096"/><Relationship Type="http://schemas.openxmlformats.org/officeDocument/2006/relationships/hyperlink" Target="https://yakeey.com/fr-ma/achat/biens/152947" TargetMode="External" Id="rId1097"/><Relationship Type="http://schemas.openxmlformats.org/officeDocument/2006/relationships/hyperlink" Target="https://yakeey.com/fr-ma/achat/biens/153327" TargetMode="External" Id="rId1098"/><Relationship Type="http://schemas.openxmlformats.org/officeDocument/2006/relationships/hyperlink" Target="https://yakeey.com/fr-ma/achat/biens/155977" TargetMode="External" Id="rId1099"/><Relationship Type="http://schemas.openxmlformats.org/officeDocument/2006/relationships/hyperlink" Target="https://yakeey.com/fr-ma/achat/biens/155978" TargetMode="External" Id="rId1100"/><Relationship Type="http://schemas.openxmlformats.org/officeDocument/2006/relationships/hyperlink" Target="https://yakeey.com/fr-ma/achat/biens/162494" TargetMode="External" Id="rId1101"/><Relationship Type="http://schemas.openxmlformats.org/officeDocument/2006/relationships/hyperlink" Target="https://yakeey.com/fr-ma/achat/biens/163475" TargetMode="External" Id="rId1102"/><Relationship Type="http://schemas.openxmlformats.org/officeDocument/2006/relationships/hyperlink" Target="https://yakeey.com/fr-ma/achat/biens/164404" TargetMode="External" Id="rId1103"/><Relationship Type="http://schemas.openxmlformats.org/officeDocument/2006/relationships/hyperlink" Target="https://yakeey.com/fr-ma/achat/biens/165558" TargetMode="External" Id="rId1104"/><Relationship Type="http://schemas.openxmlformats.org/officeDocument/2006/relationships/hyperlink" Target="https://yakeey.com/fr-ma/achat/biens/168574" TargetMode="External" Id="rId1105"/><Relationship Type="http://schemas.openxmlformats.org/officeDocument/2006/relationships/hyperlink" Target="https://yakeey.com/fr-ma/achat/biens/169238" TargetMode="External" Id="rId1106"/><Relationship Type="http://schemas.openxmlformats.org/officeDocument/2006/relationships/hyperlink" Target="https://yakeey.com/fr-ma/achat/biens/170140" TargetMode="External" Id="rId1107"/><Relationship Type="http://schemas.openxmlformats.org/officeDocument/2006/relationships/hyperlink" Target="https://yakeey.com/fr-ma/achat/biens/173733" TargetMode="External" Id="rId1108"/><Relationship Type="http://schemas.openxmlformats.org/officeDocument/2006/relationships/hyperlink" Target="https://yakeey.com/fr-ma/achat/biens/175603" TargetMode="External" Id="rId1109"/><Relationship Type="http://schemas.openxmlformats.org/officeDocument/2006/relationships/hyperlink" Target="https://yakeey.com/fr-ma/achat/biens/175611" TargetMode="External" Id="rId1110"/><Relationship Type="http://schemas.openxmlformats.org/officeDocument/2006/relationships/hyperlink" Target="https://yakeey.com/fr-ma/achat/biens/178449" TargetMode="External" Id="rId1111"/><Relationship Type="http://schemas.openxmlformats.org/officeDocument/2006/relationships/hyperlink" Target="https://yakeey.com/fr-ma/achat/biens/179606" TargetMode="External" Id="rId1112"/><Relationship Type="http://schemas.openxmlformats.org/officeDocument/2006/relationships/hyperlink" Target="https://yakeey.com/fr-ma/achat/biens/179608" TargetMode="External" Id="rId1113"/><Relationship Type="http://schemas.openxmlformats.org/officeDocument/2006/relationships/hyperlink" Target="https://yakeey.com/fr-ma/achat/biens/186855" TargetMode="External" Id="rId1114"/><Relationship Type="http://schemas.openxmlformats.org/officeDocument/2006/relationships/hyperlink" Target="https://yakeey.com/fr-ma/achat/biens/187078" TargetMode="External" Id="rId1115"/><Relationship Type="http://schemas.openxmlformats.org/officeDocument/2006/relationships/hyperlink" Target="https://yakeey.com/fr-ma/achat/biens/188068" TargetMode="External" Id="rId1116"/><Relationship Type="http://schemas.openxmlformats.org/officeDocument/2006/relationships/hyperlink" Target="https://yakeey.com/fr-ma/achat/biens/30928" TargetMode="External" Id="rId1117"/><Relationship Type="http://schemas.openxmlformats.org/officeDocument/2006/relationships/hyperlink" Target="https://yakeey.com/fr-ma/achat/biens/40779" TargetMode="External" Id="rId1118"/><Relationship Type="http://schemas.openxmlformats.org/officeDocument/2006/relationships/hyperlink" Target="https://yakeey.com/fr-ma/achat/biens/40963" TargetMode="External" Id="rId1119"/><Relationship Type="http://schemas.openxmlformats.org/officeDocument/2006/relationships/hyperlink" Target="https://yakeey.com/fr-ma/achat/biens/47824" TargetMode="External" Id="rId1120"/><Relationship Type="http://schemas.openxmlformats.org/officeDocument/2006/relationships/hyperlink" Target="https://yakeey.com/fr-ma/achat/biens/62044" TargetMode="External" Id="rId1121"/><Relationship Type="http://schemas.openxmlformats.org/officeDocument/2006/relationships/hyperlink" Target="https://yakeey.com/fr-ma/achat/biens/63860" TargetMode="External" Id="rId1122"/><Relationship Type="http://schemas.openxmlformats.org/officeDocument/2006/relationships/hyperlink" Target="https://yakeey.com/fr-ma/achat/biens/6691" TargetMode="External" Id="rId1123"/><Relationship Type="http://schemas.openxmlformats.org/officeDocument/2006/relationships/hyperlink" Target="https://yakeey.com/fr-ma/achat/biens/73907" TargetMode="External" Id="rId1124"/><Relationship Type="http://schemas.openxmlformats.org/officeDocument/2006/relationships/hyperlink" Target="https://yakeey.com/fr-ma/achat/biens/79170" TargetMode="External" Id="rId1125"/><Relationship Type="http://schemas.openxmlformats.org/officeDocument/2006/relationships/hyperlink" Target="https://yakeey.com/fr-ma/achat/biens/102851" TargetMode="External" Id="rId1126"/><Relationship Type="http://schemas.openxmlformats.org/officeDocument/2006/relationships/hyperlink" Target="https://yakeey.com/fr-ma/achat/biens/10516" TargetMode="External" Id="rId1127"/><Relationship Type="http://schemas.openxmlformats.org/officeDocument/2006/relationships/hyperlink" Target="https://yakeey.com/fr-ma/achat/biens/1190" TargetMode="External" Id="rId1128"/><Relationship Type="http://schemas.openxmlformats.org/officeDocument/2006/relationships/hyperlink" Target="https://yakeey.com/fr-ma/achat/biens/155252" TargetMode="External" Id="rId1129"/><Relationship Type="http://schemas.openxmlformats.org/officeDocument/2006/relationships/hyperlink" Target="https://yakeey.com/fr-ma/achat/biens/161834" TargetMode="External" Id="rId1130"/><Relationship Type="http://schemas.openxmlformats.org/officeDocument/2006/relationships/hyperlink" Target="https://yakeey.com/fr-ma/achat/biens/161954" TargetMode="External" Id="rId1131"/><Relationship Type="http://schemas.openxmlformats.org/officeDocument/2006/relationships/hyperlink" Target="https://yakeey.com/fr-ma/achat/biens/17274" TargetMode="External" Id="rId1132"/><Relationship Type="http://schemas.openxmlformats.org/officeDocument/2006/relationships/hyperlink" Target="https://yakeey.com/fr-ma/achat/biens/178882" TargetMode="External" Id="rId1133"/><Relationship Type="http://schemas.openxmlformats.org/officeDocument/2006/relationships/hyperlink" Target="https://yakeey.com/fr-ma/achat/biens/181671" TargetMode="External" Id="rId1134"/><Relationship Type="http://schemas.openxmlformats.org/officeDocument/2006/relationships/hyperlink" Target="https://yakeey.com/fr-ma/achat/biens/182034" TargetMode="External" Id="rId1135"/><Relationship Type="http://schemas.openxmlformats.org/officeDocument/2006/relationships/hyperlink" Target="https://yakeey.com/fr-ma/achat/biens/18364" TargetMode="External" Id="rId1136"/><Relationship Type="http://schemas.openxmlformats.org/officeDocument/2006/relationships/hyperlink" Target="https://yakeey.com/fr-ma/achat/biens/185411" TargetMode="External" Id="rId1137"/><Relationship Type="http://schemas.openxmlformats.org/officeDocument/2006/relationships/hyperlink" Target="https://yakeey.com/fr-ma/achat/biens/21185" TargetMode="External" Id="rId1138"/><Relationship Type="http://schemas.openxmlformats.org/officeDocument/2006/relationships/hyperlink" Target="https://yakeey.com/fr-ma/achat/biens/2166" TargetMode="External" Id="rId1139"/><Relationship Type="http://schemas.openxmlformats.org/officeDocument/2006/relationships/hyperlink" Target="https://yakeey.com/fr-ma/achat/biens/2167" TargetMode="External" Id="rId1140"/><Relationship Type="http://schemas.openxmlformats.org/officeDocument/2006/relationships/hyperlink" Target="https://yakeey.com/fr-ma/achat/biens/24767" TargetMode="External" Id="rId1141"/><Relationship Type="http://schemas.openxmlformats.org/officeDocument/2006/relationships/hyperlink" Target="https://yakeey.com/fr-ma/achat/biens/31538" TargetMode="External" Id="rId1142"/><Relationship Type="http://schemas.openxmlformats.org/officeDocument/2006/relationships/hyperlink" Target="https://yakeey.com/fr-ma/achat/biens/40412" TargetMode="External" Id="rId1143"/><Relationship Type="http://schemas.openxmlformats.org/officeDocument/2006/relationships/hyperlink" Target="https://yakeey.com/fr-ma/achat/biens/46985" TargetMode="External" Id="rId1144"/><Relationship Type="http://schemas.openxmlformats.org/officeDocument/2006/relationships/hyperlink" Target="https://yakeey.com/fr-ma/achat/biens/47145" TargetMode="External" Id="rId1145"/><Relationship Type="http://schemas.openxmlformats.org/officeDocument/2006/relationships/hyperlink" Target="https://yakeey.com/fr-ma/achat/biens/47354" TargetMode="External" Id="rId1146"/><Relationship Type="http://schemas.openxmlformats.org/officeDocument/2006/relationships/hyperlink" Target="https://yakeey.com/fr-ma/achat/biens/4824" TargetMode="External" Id="rId1147"/><Relationship Type="http://schemas.openxmlformats.org/officeDocument/2006/relationships/hyperlink" Target="https://yakeey.com/fr-ma/achat/biens/48733" TargetMode="External" Id="rId1148"/><Relationship Type="http://schemas.openxmlformats.org/officeDocument/2006/relationships/hyperlink" Target="https://yakeey.com/fr-ma/achat/biens/49311" TargetMode="External" Id="rId1149"/><Relationship Type="http://schemas.openxmlformats.org/officeDocument/2006/relationships/hyperlink" Target="https://yakeey.com/fr-ma/achat/biens/55109" TargetMode="External" Id="rId1150"/><Relationship Type="http://schemas.openxmlformats.org/officeDocument/2006/relationships/hyperlink" Target="https://yakeey.com/fr-ma/achat/biens/55130" TargetMode="External" Id="rId1151"/><Relationship Type="http://schemas.openxmlformats.org/officeDocument/2006/relationships/hyperlink" Target="https://yakeey.com/fr-ma/achat/biens/62157" TargetMode="External" Id="rId1152"/><Relationship Type="http://schemas.openxmlformats.org/officeDocument/2006/relationships/hyperlink" Target="https://yakeey.com/fr-ma/achat/biens/64887" TargetMode="External" Id="rId1153"/><Relationship Type="http://schemas.openxmlformats.org/officeDocument/2006/relationships/hyperlink" Target="https://yakeey.com/fr-ma/achat/biens/76148" TargetMode="External" Id="rId1154"/><Relationship Type="http://schemas.openxmlformats.org/officeDocument/2006/relationships/hyperlink" Target="https://yakeey.com/fr-ma/achat/biens/8665" TargetMode="External" Id="rId1155"/><Relationship Type="http://schemas.openxmlformats.org/officeDocument/2006/relationships/hyperlink" Target="https://yakeey.com/fr-ma/achat/biens/8947" TargetMode="External" Id="rId1156"/><Relationship Type="http://schemas.openxmlformats.org/officeDocument/2006/relationships/hyperlink" Target="https://yakeey.com/fr-ma/achat/biens/98932" TargetMode="External" Id="rId1157"/><Relationship Type="http://schemas.openxmlformats.org/officeDocument/2006/relationships/hyperlink" Target="https://yakeey.com/fr-ma/achat/biens/143593" TargetMode="External" Id="rId1158"/><Relationship Type="http://schemas.openxmlformats.org/officeDocument/2006/relationships/hyperlink" Target="https://yakeey.com/fr-ma/achat/biens/146044" TargetMode="External" Id="rId1159"/><Relationship Type="http://schemas.openxmlformats.org/officeDocument/2006/relationships/hyperlink" Target="https://yakeey.com/fr-ma/achat/biens/23162" TargetMode="External" Id="rId1160"/><Relationship Type="http://schemas.openxmlformats.org/officeDocument/2006/relationships/hyperlink" Target="https://yakeey.com/fr-ma/achat/biens/40333" TargetMode="External" Id="rId1161"/><Relationship Type="http://schemas.openxmlformats.org/officeDocument/2006/relationships/hyperlink" Target="https://yakeey.com/fr-ma/achat/biens/57196" TargetMode="External" Id="rId1162"/><Relationship Type="http://schemas.openxmlformats.org/officeDocument/2006/relationships/hyperlink" Target="https://yakeey.com/fr-ma/achat/biens/71766" TargetMode="External" Id="rId1163"/><Relationship Type="http://schemas.openxmlformats.org/officeDocument/2006/relationships/hyperlink" Target="https://yakeey.com/fr-ma/achat/biens/72648" TargetMode="External" Id="rId1164"/><Relationship Type="http://schemas.openxmlformats.org/officeDocument/2006/relationships/hyperlink" Target="https://yakeey.com/fr-ma/achat/biens/88019" TargetMode="External" Id="rId1165"/><Relationship Type="http://schemas.openxmlformats.org/officeDocument/2006/relationships/hyperlink" Target="https://yakeey.com/fr-ma/achat/biens/154451" TargetMode="External" Id="rId1166"/><Relationship Type="http://schemas.openxmlformats.org/officeDocument/2006/relationships/hyperlink" Target="https://yakeey.com/fr-ma/achat/biens/183349" TargetMode="External" Id="rId1167"/><Relationship Type="http://schemas.openxmlformats.org/officeDocument/2006/relationships/hyperlink" Target="https://yakeey.com/fr-ma/achat/biens/188327" TargetMode="External" Id="rId1168"/><Relationship Type="http://schemas.openxmlformats.org/officeDocument/2006/relationships/hyperlink" Target="https://yakeey.com/fr-ma/achat/biens/100099" TargetMode="External" Id="rId1169"/><Relationship Type="http://schemas.openxmlformats.org/officeDocument/2006/relationships/hyperlink" Target="https://yakeey.com/fr-ma/achat/biens/102212" TargetMode="External" Id="rId1170"/><Relationship Type="http://schemas.openxmlformats.org/officeDocument/2006/relationships/hyperlink" Target="https://yakeey.com/fr-ma/achat/biens/103384" TargetMode="External" Id="rId1171"/><Relationship Type="http://schemas.openxmlformats.org/officeDocument/2006/relationships/hyperlink" Target="https://yakeey.com/fr-ma/achat/biens/10411" TargetMode="External" Id="rId1172"/><Relationship Type="http://schemas.openxmlformats.org/officeDocument/2006/relationships/hyperlink" Target="https://yakeey.com/fr-ma/achat/biens/104399" TargetMode="External" Id="rId1173"/><Relationship Type="http://schemas.openxmlformats.org/officeDocument/2006/relationships/hyperlink" Target="https://yakeey.com/fr-ma/achat/biens/106323" TargetMode="External" Id="rId1174"/><Relationship Type="http://schemas.openxmlformats.org/officeDocument/2006/relationships/hyperlink" Target="https://yakeey.com/fr-ma/achat/biens/111129" TargetMode="External" Id="rId1175"/><Relationship Type="http://schemas.openxmlformats.org/officeDocument/2006/relationships/hyperlink" Target="https://yakeey.com/fr-ma/achat/biens/114279" TargetMode="External" Id="rId1176"/><Relationship Type="http://schemas.openxmlformats.org/officeDocument/2006/relationships/hyperlink" Target="https://yakeey.com/fr-ma/achat/biens/117383" TargetMode="External" Id="rId1177"/><Relationship Type="http://schemas.openxmlformats.org/officeDocument/2006/relationships/hyperlink" Target="https://yakeey.com/fr-ma/achat/biens/117981" TargetMode="External" Id="rId1178"/><Relationship Type="http://schemas.openxmlformats.org/officeDocument/2006/relationships/hyperlink" Target="https://yakeey.com/fr-ma/achat/biens/118006" TargetMode="External" Id="rId1179"/><Relationship Type="http://schemas.openxmlformats.org/officeDocument/2006/relationships/hyperlink" Target="https://yakeey.com/fr-ma/achat/biens/118144" TargetMode="External" Id="rId1180"/><Relationship Type="http://schemas.openxmlformats.org/officeDocument/2006/relationships/hyperlink" Target="https://yakeey.com/fr-ma/achat/biens/12385" TargetMode="External" Id="rId1181"/><Relationship Type="http://schemas.openxmlformats.org/officeDocument/2006/relationships/hyperlink" Target="https://yakeey.com/fr-ma/achat/biens/123933" TargetMode="External" Id="rId1182"/><Relationship Type="http://schemas.openxmlformats.org/officeDocument/2006/relationships/hyperlink" Target="https://yakeey.com/fr-ma/achat/biens/127189" TargetMode="External" Id="rId1183"/><Relationship Type="http://schemas.openxmlformats.org/officeDocument/2006/relationships/hyperlink" Target="https://yakeey.com/fr-ma/achat/biens/137912" TargetMode="External" Id="rId1184"/><Relationship Type="http://schemas.openxmlformats.org/officeDocument/2006/relationships/hyperlink" Target="https://yakeey.com/fr-ma/achat/biens/139579" TargetMode="External" Id="rId1185"/><Relationship Type="http://schemas.openxmlformats.org/officeDocument/2006/relationships/hyperlink" Target="https://yakeey.com/fr-ma/achat/biens/140164" TargetMode="External" Id="rId1186"/><Relationship Type="http://schemas.openxmlformats.org/officeDocument/2006/relationships/hyperlink" Target="https://yakeey.com/fr-ma/achat/biens/140806" TargetMode="External" Id="rId1187"/><Relationship Type="http://schemas.openxmlformats.org/officeDocument/2006/relationships/hyperlink" Target="https://yakeey.com/fr-ma/achat/biens/140808" TargetMode="External" Id="rId1188"/><Relationship Type="http://schemas.openxmlformats.org/officeDocument/2006/relationships/hyperlink" Target="https://yakeey.com/fr-ma/achat/biens/144046" TargetMode="External" Id="rId1189"/><Relationship Type="http://schemas.openxmlformats.org/officeDocument/2006/relationships/hyperlink" Target="https://yakeey.com/fr-ma/achat/biens/145283" TargetMode="External" Id="rId1190"/><Relationship Type="http://schemas.openxmlformats.org/officeDocument/2006/relationships/hyperlink" Target="https://yakeey.com/fr-ma/achat/biens/146361" TargetMode="External" Id="rId1191"/><Relationship Type="http://schemas.openxmlformats.org/officeDocument/2006/relationships/hyperlink" Target="https://yakeey.com/fr-ma/achat/biens/150070" TargetMode="External" Id="rId1192"/><Relationship Type="http://schemas.openxmlformats.org/officeDocument/2006/relationships/hyperlink" Target="https://yakeey.com/fr-ma/achat/biens/154769" TargetMode="External" Id="rId1193"/><Relationship Type="http://schemas.openxmlformats.org/officeDocument/2006/relationships/hyperlink" Target="https://yakeey.com/fr-ma/achat/biens/155580" TargetMode="External" Id="rId1194"/><Relationship Type="http://schemas.openxmlformats.org/officeDocument/2006/relationships/hyperlink" Target="https://yakeey.com/fr-ma/achat/biens/157018" TargetMode="External" Id="rId1195"/><Relationship Type="http://schemas.openxmlformats.org/officeDocument/2006/relationships/hyperlink" Target="https://yakeey.com/fr-ma/achat/biens/157829" TargetMode="External" Id="rId1196"/><Relationship Type="http://schemas.openxmlformats.org/officeDocument/2006/relationships/hyperlink" Target="https://yakeey.com/fr-ma/achat/biens/158539" TargetMode="External" Id="rId1197"/><Relationship Type="http://schemas.openxmlformats.org/officeDocument/2006/relationships/hyperlink" Target="https://yakeey.com/fr-ma/achat/biens/158552" TargetMode="External" Id="rId1198"/><Relationship Type="http://schemas.openxmlformats.org/officeDocument/2006/relationships/hyperlink" Target="https://yakeey.com/fr-ma/achat/biens/159076" TargetMode="External" Id="rId1199"/><Relationship Type="http://schemas.openxmlformats.org/officeDocument/2006/relationships/hyperlink" Target="https://yakeey.com/fr-ma/achat/biens/159307" TargetMode="External" Id="rId1200"/><Relationship Type="http://schemas.openxmlformats.org/officeDocument/2006/relationships/hyperlink" Target="https://yakeey.com/fr-ma/achat/biens/159620" TargetMode="External" Id="rId1201"/><Relationship Type="http://schemas.openxmlformats.org/officeDocument/2006/relationships/hyperlink" Target="https://yakeey.com/fr-ma/achat/biens/15979" TargetMode="External" Id="rId1202"/><Relationship Type="http://schemas.openxmlformats.org/officeDocument/2006/relationships/hyperlink" Target="https://yakeey.com/fr-ma/achat/biens/160293" TargetMode="External" Id="rId1203"/><Relationship Type="http://schemas.openxmlformats.org/officeDocument/2006/relationships/hyperlink" Target="https://yakeey.com/fr-ma/achat/biens/160323" TargetMode="External" Id="rId1204"/><Relationship Type="http://schemas.openxmlformats.org/officeDocument/2006/relationships/hyperlink" Target="https://yakeey.com/fr-ma/achat/biens/162246" TargetMode="External" Id="rId1205"/><Relationship Type="http://schemas.openxmlformats.org/officeDocument/2006/relationships/hyperlink" Target="https://yakeey.com/fr-ma/achat/biens/162426" TargetMode="External" Id="rId1206"/><Relationship Type="http://schemas.openxmlformats.org/officeDocument/2006/relationships/hyperlink" Target="https://yakeey.com/fr-ma/achat/biens/162432" TargetMode="External" Id="rId1207"/><Relationship Type="http://schemas.openxmlformats.org/officeDocument/2006/relationships/hyperlink" Target="https://yakeey.com/fr-ma/achat/biens/162864" TargetMode="External" Id="rId1208"/><Relationship Type="http://schemas.openxmlformats.org/officeDocument/2006/relationships/hyperlink" Target="https://yakeey.com/fr-ma/achat/biens/165961" TargetMode="External" Id="rId1209"/><Relationship Type="http://schemas.openxmlformats.org/officeDocument/2006/relationships/hyperlink" Target="https://yakeey.com/fr-ma/achat/biens/166037" TargetMode="External" Id="rId1210"/><Relationship Type="http://schemas.openxmlformats.org/officeDocument/2006/relationships/hyperlink" Target="https://yakeey.com/fr-ma/achat/biens/166165" TargetMode="External" Id="rId1211"/><Relationship Type="http://schemas.openxmlformats.org/officeDocument/2006/relationships/hyperlink" Target="https://yakeey.com/fr-ma/achat/biens/166575" TargetMode="External" Id="rId1212"/><Relationship Type="http://schemas.openxmlformats.org/officeDocument/2006/relationships/hyperlink" Target="https://yakeey.com/fr-ma/achat/biens/167244" TargetMode="External" Id="rId1213"/><Relationship Type="http://schemas.openxmlformats.org/officeDocument/2006/relationships/hyperlink" Target="https://yakeey.com/fr-ma/achat/biens/167838" TargetMode="External" Id="rId1214"/><Relationship Type="http://schemas.openxmlformats.org/officeDocument/2006/relationships/hyperlink" Target="https://yakeey.com/fr-ma/achat/biens/167843" TargetMode="External" Id="rId1215"/><Relationship Type="http://schemas.openxmlformats.org/officeDocument/2006/relationships/hyperlink" Target="https://yakeey.com/fr-ma/achat/biens/168800" TargetMode="External" Id="rId1216"/><Relationship Type="http://schemas.openxmlformats.org/officeDocument/2006/relationships/hyperlink" Target="https://yakeey.com/fr-ma/achat/biens/170899" TargetMode="External" Id="rId1217"/><Relationship Type="http://schemas.openxmlformats.org/officeDocument/2006/relationships/hyperlink" Target="https://yakeey.com/fr-ma/achat/biens/171127" TargetMode="External" Id="rId1218"/><Relationship Type="http://schemas.openxmlformats.org/officeDocument/2006/relationships/hyperlink" Target="https://yakeey.com/fr-ma/achat/biens/172696" TargetMode="External" Id="rId1219"/><Relationship Type="http://schemas.openxmlformats.org/officeDocument/2006/relationships/hyperlink" Target="https://yakeey.com/fr-ma/achat/biens/173085" TargetMode="External" Id="rId1220"/><Relationship Type="http://schemas.openxmlformats.org/officeDocument/2006/relationships/hyperlink" Target="https://yakeey.com/fr-ma/achat/biens/17446" TargetMode="External" Id="rId1221"/><Relationship Type="http://schemas.openxmlformats.org/officeDocument/2006/relationships/hyperlink" Target="https://yakeey.com/fr-ma/achat/biens/175048" TargetMode="External" Id="rId1222"/><Relationship Type="http://schemas.openxmlformats.org/officeDocument/2006/relationships/hyperlink" Target="https://yakeey.com/fr-ma/achat/biens/175780" TargetMode="External" Id="rId1223"/><Relationship Type="http://schemas.openxmlformats.org/officeDocument/2006/relationships/hyperlink" Target="https://yakeey.com/fr-ma/achat/biens/175907" TargetMode="External" Id="rId1224"/><Relationship Type="http://schemas.openxmlformats.org/officeDocument/2006/relationships/hyperlink" Target="https://yakeey.com/fr-ma/achat/biens/176750" TargetMode="External" Id="rId1225"/><Relationship Type="http://schemas.openxmlformats.org/officeDocument/2006/relationships/hyperlink" Target="https://yakeey.com/fr-ma/achat/biens/176784" TargetMode="External" Id="rId1226"/><Relationship Type="http://schemas.openxmlformats.org/officeDocument/2006/relationships/hyperlink" Target="https://yakeey.com/fr-ma/achat/biens/177542" TargetMode="External" Id="rId1227"/><Relationship Type="http://schemas.openxmlformats.org/officeDocument/2006/relationships/hyperlink" Target="https://yakeey.com/fr-ma/achat/biens/177898" TargetMode="External" Id="rId1228"/><Relationship Type="http://schemas.openxmlformats.org/officeDocument/2006/relationships/hyperlink" Target="https://yakeey.com/fr-ma/achat/biens/178275" TargetMode="External" Id="rId1229"/><Relationship Type="http://schemas.openxmlformats.org/officeDocument/2006/relationships/hyperlink" Target="https://yakeey.com/fr-ma/achat/biens/178667" TargetMode="External" Id="rId1230"/><Relationship Type="http://schemas.openxmlformats.org/officeDocument/2006/relationships/hyperlink" Target="https://yakeey.com/fr-ma/achat/biens/179488" TargetMode="External" Id="rId1231"/><Relationship Type="http://schemas.openxmlformats.org/officeDocument/2006/relationships/hyperlink" Target="https://yakeey.com/fr-ma/achat/biens/180110" TargetMode="External" Id="rId1232"/><Relationship Type="http://schemas.openxmlformats.org/officeDocument/2006/relationships/hyperlink" Target="https://yakeey.com/fr-ma/achat/biens/180429" TargetMode="External" Id="rId1233"/><Relationship Type="http://schemas.openxmlformats.org/officeDocument/2006/relationships/hyperlink" Target="https://yakeey.com/fr-ma/achat/biens/182786" TargetMode="External" Id="rId1234"/><Relationship Type="http://schemas.openxmlformats.org/officeDocument/2006/relationships/hyperlink" Target="https://yakeey.com/fr-ma/achat/biens/182841" TargetMode="External" Id="rId1235"/><Relationship Type="http://schemas.openxmlformats.org/officeDocument/2006/relationships/hyperlink" Target="https://yakeey.com/fr-ma/achat/biens/183781" TargetMode="External" Id="rId1236"/><Relationship Type="http://schemas.openxmlformats.org/officeDocument/2006/relationships/hyperlink" Target="https://yakeey.com/fr-ma/achat/biens/184683" TargetMode="External" Id="rId1237"/><Relationship Type="http://schemas.openxmlformats.org/officeDocument/2006/relationships/hyperlink" Target="https://yakeey.com/fr-ma/achat/biens/185767" TargetMode="External" Id="rId1238"/><Relationship Type="http://schemas.openxmlformats.org/officeDocument/2006/relationships/hyperlink" Target="https://yakeey.com/fr-ma/achat/biens/185808" TargetMode="External" Id="rId1239"/><Relationship Type="http://schemas.openxmlformats.org/officeDocument/2006/relationships/hyperlink" Target="https://yakeey.com/fr-ma/achat/biens/186111" TargetMode="External" Id="rId1240"/><Relationship Type="http://schemas.openxmlformats.org/officeDocument/2006/relationships/hyperlink" Target="https://yakeey.com/fr-ma/achat/biens/186585" TargetMode="External" Id="rId1241"/><Relationship Type="http://schemas.openxmlformats.org/officeDocument/2006/relationships/hyperlink" Target="https://yakeey.com/fr-ma/achat/biens/187054" TargetMode="External" Id="rId1242"/><Relationship Type="http://schemas.openxmlformats.org/officeDocument/2006/relationships/hyperlink" Target="https://yakeey.com/fr-ma/achat/biens/189335" TargetMode="External" Id="rId1243"/><Relationship Type="http://schemas.openxmlformats.org/officeDocument/2006/relationships/hyperlink" Target="https://yakeey.com/fr-ma/achat/biens/189399" TargetMode="External" Id="rId1244"/><Relationship Type="http://schemas.openxmlformats.org/officeDocument/2006/relationships/hyperlink" Target="https://yakeey.com/fr-ma/achat/biens/20809" TargetMode="External" Id="rId1245"/><Relationship Type="http://schemas.openxmlformats.org/officeDocument/2006/relationships/hyperlink" Target="https://yakeey.com/fr-ma/achat/biens/21262" TargetMode="External" Id="rId1246"/><Relationship Type="http://schemas.openxmlformats.org/officeDocument/2006/relationships/hyperlink" Target="https://yakeey.com/fr-ma/achat/biens/21570" TargetMode="External" Id="rId1247"/><Relationship Type="http://schemas.openxmlformats.org/officeDocument/2006/relationships/hyperlink" Target="https://yakeey.com/fr-ma/achat/biens/21660" TargetMode="External" Id="rId1248"/><Relationship Type="http://schemas.openxmlformats.org/officeDocument/2006/relationships/hyperlink" Target="https://yakeey.com/fr-ma/achat/biens/22749" TargetMode="External" Id="rId1249"/><Relationship Type="http://schemas.openxmlformats.org/officeDocument/2006/relationships/hyperlink" Target="https://yakeey.com/fr-ma/achat/biens/22960" TargetMode="External" Id="rId1250"/><Relationship Type="http://schemas.openxmlformats.org/officeDocument/2006/relationships/hyperlink" Target="https://yakeey.com/fr-ma/achat/biens/25005" TargetMode="External" Id="rId1251"/><Relationship Type="http://schemas.openxmlformats.org/officeDocument/2006/relationships/hyperlink" Target="https://yakeey.com/fr-ma/achat/biens/2737" TargetMode="External" Id="rId1252"/><Relationship Type="http://schemas.openxmlformats.org/officeDocument/2006/relationships/hyperlink" Target="https://yakeey.com/fr-ma/achat/biens/31010" TargetMode="External" Id="rId1253"/><Relationship Type="http://schemas.openxmlformats.org/officeDocument/2006/relationships/hyperlink" Target="https://yakeey.com/fr-ma/achat/biens/33621" TargetMode="External" Id="rId1254"/><Relationship Type="http://schemas.openxmlformats.org/officeDocument/2006/relationships/hyperlink" Target="https://yakeey.com/fr-ma/achat/biens/35129" TargetMode="External" Id="rId1255"/><Relationship Type="http://schemas.openxmlformats.org/officeDocument/2006/relationships/hyperlink" Target="https://yakeey.com/fr-ma/achat/biens/36773" TargetMode="External" Id="rId1256"/><Relationship Type="http://schemas.openxmlformats.org/officeDocument/2006/relationships/hyperlink" Target="https://yakeey.com/fr-ma/achat/biens/3711" TargetMode="External" Id="rId1257"/><Relationship Type="http://schemas.openxmlformats.org/officeDocument/2006/relationships/hyperlink" Target="https://yakeey.com/fr-ma/achat/biens/37146" TargetMode="External" Id="rId1258"/><Relationship Type="http://schemas.openxmlformats.org/officeDocument/2006/relationships/hyperlink" Target="https://yakeey.com/fr-ma/achat/biens/3746" TargetMode="External" Id="rId1259"/><Relationship Type="http://schemas.openxmlformats.org/officeDocument/2006/relationships/hyperlink" Target="https://yakeey.com/fr-ma/achat/biens/4165" TargetMode="External" Id="rId1260"/><Relationship Type="http://schemas.openxmlformats.org/officeDocument/2006/relationships/hyperlink" Target="https://yakeey.com/fr-ma/achat/biens/42807" TargetMode="External" Id="rId1261"/><Relationship Type="http://schemas.openxmlformats.org/officeDocument/2006/relationships/hyperlink" Target="https://yakeey.com/fr-ma/achat/biens/43156" TargetMode="External" Id="rId1262"/><Relationship Type="http://schemas.openxmlformats.org/officeDocument/2006/relationships/hyperlink" Target="https://yakeey.com/fr-ma/achat/biens/43223" TargetMode="External" Id="rId1263"/><Relationship Type="http://schemas.openxmlformats.org/officeDocument/2006/relationships/hyperlink" Target="https://yakeey.com/fr-ma/achat/biens/43816" TargetMode="External" Id="rId1264"/><Relationship Type="http://schemas.openxmlformats.org/officeDocument/2006/relationships/hyperlink" Target="https://yakeey.com/fr-ma/achat/biens/45561" TargetMode="External" Id="rId1265"/><Relationship Type="http://schemas.openxmlformats.org/officeDocument/2006/relationships/hyperlink" Target="https://yakeey.com/fr-ma/achat/biens/4611" TargetMode="External" Id="rId1266"/><Relationship Type="http://schemas.openxmlformats.org/officeDocument/2006/relationships/hyperlink" Target="https://yakeey.com/fr-ma/achat/biens/46797" TargetMode="External" Id="rId1267"/><Relationship Type="http://schemas.openxmlformats.org/officeDocument/2006/relationships/hyperlink" Target="https://yakeey.com/fr-ma/achat/biens/49192" TargetMode="External" Id="rId1268"/><Relationship Type="http://schemas.openxmlformats.org/officeDocument/2006/relationships/hyperlink" Target="https://yakeey.com/fr-ma/achat/biens/49354" TargetMode="External" Id="rId1269"/><Relationship Type="http://schemas.openxmlformats.org/officeDocument/2006/relationships/hyperlink" Target="https://yakeey.com/fr-ma/achat/biens/49982" TargetMode="External" Id="rId1270"/><Relationship Type="http://schemas.openxmlformats.org/officeDocument/2006/relationships/hyperlink" Target="https://yakeey.com/fr-ma/achat/biens/51303" TargetMode="External" Id="rId1271"/><Relationship Type="http://schemas.openxmlformats.org/officeDocument/2006/relationships/hyperlink" Target="https://yakeey.com/fr-ma/achat/biens/52897" TargetMode="External" Id="rId1272"/><Relationship Type="http://schemas.openxmlformats.org/officeDocument/2006/relationships/hyperlink" Target="https://yakeey.com/fr-ma/achat/biens/52932" TargetMode="External" Id="rId1273"/><Relationship Type="http://schemas.openxmlformats.org/officeDocument/2006/relationships/hyperlink" Target="https://yakeey.com/fr-ma/achat/biens/53393" TargetMode="External" Id="rId1274"/><Relationship Type="http://schemas.openxmlformats.org/officeDocument/2006/relationships/hyperlink" Target="https://yakeey.com/fr-ma/achat/biens/53681" TargetMode="External" Id="rId1275"/><Relationship Type="http://schemas.openxmlformats.org/officeDocument/2006/relationships/hyperlink" Target="https://yakeey.com/fr-ma/achat/biens/54505" TargetMode="External" Id="rId1276"/><Relationship Type="http://schemas.openxmlformats.org/officeDocument/2006/relationships/hyperlink" Target="https://yakeey.com/fr-ma/achat/biens/54640" TargetMode="External" Id="rId1277"/><Relationship Type="http://schemas.openxmlformats.org/officeDocument/2006/relationships/hyperlink" Target="https://yakeey.com/fr-ma/achat/biens/57575" TargetMode="External" Id="rId1278"/><Relationship Type="http://schemas.openxmlformats.org/officeDocument/2006/relationships/hyperlink" Target="https://yakeey.com/fr-ma/achat/biens/59044" TargetMode="External" Id="rId1279"/><Relationship Type="http://schemas.openxmlformats.org/officeDocument/2006/relationships/hyperlink" Target="https://yakeey.com/fr-ma/achat/biens/60837" TargetMode="External" Id="rId1280"/><Relationship Type="http://schemas.openxmlformats.org/officeDocument/2006/relationships/hyperlink" Target="https://yakeey.com/fr-ma/achat/biens/61006" TargetMode="External" Id="rId1281"/><Relationship Type="http://schemas.openxmlformats.org/officeDocument/2006/relationships/hyperlink" Target="https://yakeey.com/fr-ma/achat/biens/6359" TargetMode="External" Id="rId1282"/><Relationship Type="http://schemas.openxmlformats.org/officeDocument/2006/relationships/hyperlink" Target="https://yakeey.com/fr-ma/achat/biens/64160" TargetMode="External" Id="rId1283"/><Relationship Type="http://schemas.openxmlformats.org/officeDocument/2006/relationships/hyperlink" Target="https://yakeey.com/fr-ma/achat/biens/64440" TargetMode="External" Id="rId1284"/><Relationship Type="http://schemas.openxmlformats.org/officeDocument/2006/relationships/hyperlink" Target="https://yakeey.com/fr-ma/achat/biens/64516" TargetMode="External" Id="rId1285"/><Relationship Type="http://schemas.openxmlformats.org/officeDocument/2006/relationships/hyperlink" Target="https://yakeey.com/fr-ma/achat/biens/68240" TargetMode="External" Id="rId1286"/><Relationship Type="http://schemas.openxmlformats.org/officeDocument/2006/relationships/hyperlink" Target="https://yakeey.com/fr-ma/achat/biens/68384" TargetMode="External" Id="rId1287"/><Relationship Type="http://schemas.openxmlformats.org/officeDocument/2006/relationships/hyperlink" Target="https://yakeey.com/fr-ma/achat/biens/69251" TargetMode="External" Id="rId1288"/><Relationship Type="http://schemas.openxmlformats.org/officeDocument/2006/relationships/hyperlink" Target="https://yakeey.com/fr-ma/achat/biens/71935" TargetMode="External" Id="rId1289"/><Relationship Type="http://schemas.openxmlformats.org/officeDocument/2006/relationships/hyperlink" Target="https://yakeey.com/fr-ma/achat/biens/76115" TargetMode="External" Id="rId1290"/><Relationship Type="http://schemas.openxmlformats.org/officeDocument/2006/relationships/hyperlink" Target="https://yakeey.com/fr-ma/achat/biens/7726" TargetMode="External" Id="rId1291"/><Relationship Type="http://schemas.openxmlformats.org/officeDocument/2006/relationships/hyperlink" Target="https://yakeey.com/fr-ma/achat/biens/78941" TargetMode="External" Id="rId1292"/><Relationship Type="http://schemas.openxmlformats.org/officeDocument/2006/relationships/hyperlink" Target="https://yakeey.com/fr-ma/achat/biens/83451" TargetMode="External" Id="rId1293"/><Relationship Type="http://schemas.openxmlformats.org/officeDocument/2006/relationships/hyperlink" Target="https://yakeey.com/fr-ma/achat/biens/8685" TargetMode="External" Id="rId1294"/><Relationship Type="http://schemas.openxmlformats.org/officeDocument/2006/relationships/hyperlink" Target="https://yakeey.com/fr-ma/achat/biens/88114" TargetMode="External" Id="rId1295"/><Relationship Type="http://schemas.openxmlformats.org/officeDocument/2006/relationships/hyperlink" Target="https://yakeey.com/fr-ma/achat/biens/88452" TargetMode="External" Id="rId1296"/><Relationship Type="http://schemas.openxmlformats.org/officeDocument/2006/relationships/hyperlink" Target="https://yakeey.com/fr-ma/achat/biens/88570" TargetMode="External" Id="rId1297"/><Relationship Type="http://schemas.openxmlformats.org/officeDocument/2006/relationships/hyperlink" Target="https://yakeey.com/fr-ma/achat/biens/94697" TargetMode="External" Id="rId129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26" customWidth="1" min="3" max="3"/>
    <col width="12" customWidth="1" min="4" max="4"/>
    <col width="16" customWidth="1" min="5" max="5"/>
    <col width="12" customWidth="1" min="6" max="6"/>
    <col width="14" customWidth="1" min="7" max="7"/>
    <col width="14" customWidth="1" min="8" max="8"/>
    <col width="18" customWidth="1" min="9" max="9"/>
    <col width="9" customWidth="1" min="10" max="10"/>
    <col width="7" customWidth="1" min="11" max="11"/>
    <col width="11" customWidth="1" min="12" max="12"/>
    <col width="8" customWidth="1" min="13" max="13"/>
    <col width="9" customWidth="1" min="14" max="14"/>
    <col width="9" customWidth="1" min="15" max="15"/>
    <col width="16" customWidth="1" min="16" max="16"/>
    <col width="18" customWidth="1" min="17" max="17"/>
    <col width="22" customWidth="1" min="18" max="18"/>
    <col width="11" customWidth="1" min="19" max="19"/>
    <col width="11" customWidth="1" min="20" max="20"/>
    <col width="14" customWidth="1" min="21" max="21"/>
    <col width="60" customWidth="1" min="22" max="22"/>
    <col width="60" customWidth="1" min="23" max="23"/>
  </cols>
  <sheetData>
    <row r="1" ht="36" customHeight="1">
      <c r="A1" s="1" t="inlineStr">
        <is>
          <t>Référence</t>
        </is>
      </c>
      <c r="B1" s="1" t="inlineStr">
        <is>
          <t>Type</t>
        </is>
      </c>
      <c r="C1" s="1" t="inlineStr">
        <is>
          <t>Quartier</t>
        </is>
      </c>
      <c r="D1" s="1" t="inlineStr">
        <is>
          <t>Ville</t>
        </is>
      </c>
      <c r="E1" s="1" t="inlineStr">
        <is>
          <t>Prix (DH)</t>
        </is>
      </c>
      <c r="F1" s="1" t="inlineStr">
        <is>
          <t>Surface (m²)</t>
        </is>
      </c>
      <c r="G1" s="1" t="inlineStr">
        <is>
          <t>Surface habitable</t>
        </is>
      </c>
      <c r="H1" s="1" t="inlineStr">
        <is>
          <t>Surface terrain</t>
        </is>
      </c>
      <c r="I1" s="1" t="inlineStr">
        <is>
          <t>Prix au m² (DH/m²)</t>
        </is>
      </c>
      <c r="J1" s="1" t="inlineStr">
        <is>
          <t>Chambres</t>
        </is>
      </c>
      <c r="K1" s="1" t="inlineStr">
        <is>
          <t>SDB</t>
        </is>
      </c>
      <c r="L1" s="1" t="inlineStr">
        <is>
          <t>Salles d'eau</t>
        </is>
      </c>
      <c r="M1" s="1" t="inlineStr">
        <is>
          <t>Étage</t>
        </is>
      </c>
      <c r="N1" s="1" t="inlineStr">
        <is>
          <t>Nb étages</t>
        </is>
      </c>
      <c r="O1" s="1" t="inlineStr">
        <is>
          <t>Année</t>
        </is>
      </c>
      <c r="P1" s="1" t="inlineStr">
        <is>
          <t>Statut</t>
        </is>
      </c>
      <c r="Q1" s="1" t="inlineStr">
        <is>
          <t>Vue</t>
        </is>
      </c>
      <c r="R1" s="1" t="inlineStr">
        <is>
          <t>Orientation</t>
        </is>
      </c>
      <c r="S1" s="1" t="inlineStr">
        <is>
          <t>Latitude</t>
        </is>
      </c>
      <c r="T1" s="1" t="inlineStr">
        <is>
          <t>Longitude</t>
        </is>
      </c>
      <c r="U1" s="1" t="inlineStr">
        <is>
          <t>Mensualité (DH)</t>
        </is>
      </c>
      <c r="V1" s="1" t="inlineStr">
        <is>
          <t>Description</t>
        </is>
      </c>
      <c r="W1" s="1" t="inlineStr">
        <is>
          <t>URL</t>
        </is>
      </c>
    </row>
    <row r="2">
      <c r="A2" s="2" t="inlineStr">
        <is>
          <t>100097</t>
        </is>
      </c>
      <c r="B2" s="2" t="inlineStr">
        <is>
          <t>APARTMENT</t>
        </is>
      </c>
      <c r="C2" s="2" t="inlineStr">
        <is>
          <t>Roches Noires</t>
        </is>
      </c>
      <c r="D2" s="2" t="inlineStr">
        <is>
          <t>Casablanca</t>
        </is>
      </c>
      <c r="E2" s="3" t="n">
        <v>850000</v>
      </c>
      <c r="F2" s="4" t="n">
        <v>85</v>
      </c>
      <c r="G2" s="4" t="n"/>
      <c r="H2" s="4" t="n"/>
      <c r="I2" s="5">
        <f>IFERROR(E2/F2,"")</f>
        <v/>
      </c>
      <c r="J2" s="2" t="n">
        <v>2</v>
      </c>
      <c r="K2" s="2" t="n">
        <v>1</v>
      </c>
      <c r="L2" s="2" t="n"/>
      <c r="M2" s="2" t="n"/>
      <c r="N2" s="2" t="n"/>
      <c r="O2" s="2" t="n"/>
      <c r="P2" s="2" t="inlineStr">
        <is>
          <t>LISTED</t>
        </is>
      </c>
      <c r="Q2" s="2" t="n"/>
      <c r="R2" s="2" t="n"/>
      <c r="S2" s="2" t="n">
        <v>33.59962319677116</v>
      </c>
      <c r="T2" s="2" t="n">
        <v>-7.586803961519761</v>
      </c>
      <c r="U2" s="3" t="n">
        <v>4890</v>
      </c>
      <c r="V2" s="2" t="inlineStr"/>
      <c r="W2" s="6" t="inlineStr">
        <is>
          <t>https://yakeey.com/fr-ma/achat/biens/100097</t>
        </is>
      </c>
    </row>
    <row r="3">
      <c r="A3" t="inlineStr">
        <is>
          <t>100816</t>
        </is>
      </c>
      <c r="B3" t="inlineStr">
        <is>
          <t>APARTMENT</t>
        </is>
      </c>
      <c r="C3" t="inlineStr">
        <is>
          <t>Lissasfa</t>
        </is>
      </c>
      <c r="D3" t="inlineStr">
        <is>
          <t>Casablanca</t>
        </is>
      </c>
      <c r="E3" s="7" t="n">
        <v>1200000</v>
      </c>
      <c r="F3" s="8" t="n">
        <v>104</v>
      </c>
      <c r="G3" s="8" t="n"/>
      <c r="H3" s="8" t="n"/>
      <c r="I3" s="9">
        <f>IFERROR(E3/F3,"")</f>
        <v/>
      </c>
      <c r="J3" t="n">
        <v>3</v>
      </c>
      <c r="K3" t="n">
        <v>2</v>
      </c>
      <c r="P3" t="inlineStr">
        <is>
          <t>LISTED</t>
        </is>
      </c>
      <c r="S3" t="n">
        <v>33.53532164540226</v>
      </c>
      <c r="T3" t="n">
        <v>-7.681335665143377</v>
      </c>
      <c r="U3" s="7" t="n">
        <v>6903</v>
      </c>
      <c r="V3" t="inlineStr"/>
      <c r="W3" s="10" t="inlineStr">
        <is>
          <t>https://yakeey.com/fr-ma/achat/biens/100816</t>
        </is>
      </c>
    </row>
    <row r="4">
      <c r="A4" s="2" t="inlineStr">
        <is>
          <t>101198</t>
        </is>
      </c>
      <c r="B4" s="2" t="inlineStr">
        <is>
          <t>APARTMENT</t>
        </is>
      </c>
      <c r="C4" s="2" t="inlineStr">
        <is>
          <t>Mandarouna</t>
        </is>
      </c>
      <c r="D4" s="2" t="inlineStr">
        <is>
          <t>Casablanca</t>
        </is>
      </c>
      <c r="E4" s="3" t="n">
        <v>1800000</v>
      </c>
      <c r="F4" s="4" t="n">
        <v>109</v>
      </c>
      <c r="G4" s="4" t="n"/>
      <c r="H4" s="4" t="n"/>
      <c r="I4" s="5">
        <f>IFERROR(E4/F4,"")</f>
        <v/>
      </c>
      <c r="J4" s="2" t="n">
        <v>3</v>
      </c>
      <c r="K4" s="2" t="n">
        <v>2</v>
      </c>
      <c r="L4" s="2" t="n"/>
      <c r="M4" s="2" t="n"/>
      <c r="N4" s="2" t="n"/>
      <c r="O4" s="2" t="n"/>
      <c r="P4" s="2" t="inlineStr">
        <is>
          <t>LISTED</t>
        </is>
      </c>
      <c r="Q4" s="2" t="n"/>
      <c r="R4" s="2" t="n"/>
      <c r="S4" s="2" t="n">
        <v>33.53483741341599</v>
      </c>
      <c r="T4" s="2" t="n">
        <v>-7.605712029290005</v>
      </c>
      <c r="U4" s="3" t="n">
        <v>10355</v>
      </c>
      <c r="V4" s="2" t="inlineStr"/>
      <c r="W4" s="6" t="inlineStr">
        <is>
          <t>https://yakeey.com/fr-ma/achat/biens/101198</t>
        </is>
      </c>
    </row>
    <row r="5">
      <c r="A5" t="inlineStr">
        <is>
          <t>102647</t>
        </is>
      </c>
      <c r="B5" t="inlineStr">
        <is>
          <t>APARTMENT</t>
        </is>
      </c>
      <c r="C5" t="inlineStr">
        <is>
          <t>Hopitaux</t>
        </is>
      </c>
      <c r="D5" t="inlineStr">
        <is>
          <t>Casablanca</t>
        </is>
      </c>
      <c r="E5" s="7" t="n">
        <v>2200000</v>
      </c>
      <c r="F5" s="8" t="n">
        <v>149</v>
      </c>
      <c r="G5" s="8" t="n"/>
      <c r="H5" s="8" t="n"/>
      <c r="I5" s="9">
        <f>IFERROR(E5/F5,"")</f>
        <v/>
      </c>
      <c r="J5" t="n">
        <v>3</v>
      </c>
      <c r="K5" t="n">
        <v>2</v>
      </c>
      <c r="P5" t="inlineStr">
        <is>
          <t>LISTED</t>
        </is>
      </c>
      <c r="S5" t="n">
        <v>33.57032644592179</v>
      </c>
      <c r="T5" t="n">
        <v>-7.614574441722198</v>
      </c>
      <c r="U5" s="7" t="n">
        <v>12656</v>
      </c>
      <c r="V5" t="inlineStr"/>
      <c r="W5" s="10" t="inlineStr">
        <is>
          <t>https://yakeey.com/fr-ma/achat/biens/102647</t>
        </is>
      </c>
    </row>
    <row r="6">
      <c r="A6" s="2" t="inlineStr">
        <is>
          <t>107628</t>
        </is>
      </c>
      <c r="B6" s="2" t="inlineStr">
        <is>
          <t>APARTMENT</t>
        </is>
      </c>
      <c r="C6" s="2" t="inlineStr">
        <is>
          <t>Sidi Moumen</t>
        </is>
      </c>
      <c r="D6" s="2" t="inlineStr">
        <is>
          <t>Casablanca</t>
        </is>
      </c>
      <c r="E6" s="3" t="n">
        <v>570000</v>
      </c>
      <c r="F6" s="4" t="n">
        <v>65</v>
      </c>
      <c r="G6" s="4" t="n"/>
      <c r="H6" s="4" t="n"/>
      <c r="I6" s="5">
        <f>IFERROR(E6/F6,"")</f>
        <v/>
      </c>
      <c r="J6" s="2" t="n">
        <v>2</v>
      </c>
      <c r="K6" s="2" t="n">
        <v>1</v>
      </c>
      <c r="L6" s="2" t="n"/>
      <c r="M6" s="2" t="n"/>
      <c r="N6" s="2" t="n"/>
      <c r="O6" s="2" t="n"/>
      <c r="P6" s="2" t="inlineStr">
        <is>
          <t>LISTED</t>
        </is>
      </c>
      <c r="Q6" s="2" t="n"/>
      <c r="R6" s="2" t="n"/>
      <c r="S6" s="2" t="n">
        <v>33.59115860482696</v>
      </c>
      <c r="T6" s="2" t="n">
        <v>-7.515696173026762</v>
      </c>
      <c r="U6" s="3" t="n">
        <v>3279</v>
      </c>
      <c r="V6" s="2" t="inlineStr"/>
      <c r="W6" s="6" t="inlineStr">
        <is>
          <t>https://yakeey.com/fr-ma/achat/biens/107628</t>
        </is>
      </c>
    </row>
    <row r="7">
      <c r="A7" t="inlineStr">
        <is>
          <t>107673</t>
        </is>
      </c>
      <c r="B7" t="inlineStr">
        <is>
          <t>APARTMENT</t>
        </is>
      </c>
      <c r="C7" t="inlineStr">
        <is>
          <t>Hay Hassani</t>
        </is>
      </c>
      <c r="D7" t="inlineStr">
        <is>
          <t>Casablanca</t>
        </is>
      </c>
      <c r="E7" s="7" t="n">
        <v>1050000</v>
      </c>
      <c r="F7" s="8" t="n">
        <v>122</v>
      </c>
      <c r="G7" s="8" t="n"/>
      <c r="H7" s="8" t="n"/>
      <c r="I7" s="9">
        <f>IFERROR(E7/F7,"")</f>
        <v/>
      </c>
      <c r="J7" t="n">
        <v>2</v>
      </c>
      <c r="K7" t="n">
        <v>2</v>
      </c>
      <c r="P7" t="inlineStr">
        <is>
          <t>LISTED</t>
        </is>
      </c>
      <c r="S7" t="n">
        <v>33.56924485888122</v>
      </c>
      <c r="T7" t="n">
        <v>-7.670736563892087</v>
      </c>
      <c r="U7" s="7" t="n">
        <v>6040</v>
      </c>
      <c r="V7" t="inlineStr"/>
      <c r="W7" s="10" t="inlineStr">
        <is>
          <t>https://yakeey.com/fr-ma/achat/biens/107673</t>
        </is>
      </c>
    </row>
    <row r="8">
      <c r="A8" s="2" t="inlineStr">
        <is>
          <t>107881</t>
        </is>
      </c>
      <c r="B8" s="2" t="inlineStr">
        <is>
          <t>APARTMENT</t>
        </is>
      </c>
      <c r="C8" s="2" t="inlineStr">
        <is>
          <t>Hopitaux</t>
        </is>
      </c>
      <c r="D8" s="2" t="inlineStr">
        <is>
          <t>Casablanca</t>
        </is>
      </c>
      <c r="E8" s="3" t="n">
        <v>2450000</v>
      </c>
      <c r="F8" s="4" t="n">
        <v>259</v>
      </c>
      <c r="G8" s="4" t="n"/>
      <c r="H8" s="4" t="n"/>
      <c r="I8" s="5">
        <f>IFERROR(E8/F8,"")</f>
        <v/>
      </c>
      <c r="J8" s="2" t="n">
        <v>3</v>
      </c>
      <c r="K8" s="2" t="n">
        <v>2</v>
      </c>
      <c r="L8" s="2" t="n"/>
      <c r="M8" s="2" t="n"/>
      <c r="N8" s="2" t="n"/>
      <c r="O8" s="2" t="n"/>
      <c r="P8" s="2" t="inlineStr">
        <is>
          <t>LISTED</t>
        </is>
      </c>
      <c r="Q8" s="2" t="n"/>
      <c r="R8" s="2" t="n"/>
      <c r="S8" s="2" t="n">
        <v>33.58144529531016</v>
      </c>
      <c r="T8" s="2" t="n">
        <v>-7.616786159086151</v>
      </c>
      <c r="U8" s="3" t="n">
        <v>14094</v>
      </c>
      <c r="V8" s="2" t="inlineStr"/>
      <c r="W8" s="6" t="inlineStr">
        <is>
          <t>https://yakeey.com/fr-ma/achat/biens/107881</t>
        </is>
      </c>
    </row>
    <row r="9">
      <c r="A9" t="inlineStr">
        <is>
          <t>107889</t>
        </is>
      </c>
      <c r="B9" t="inlineStr">
        <is>
          <t>APARTMENT</t>
        </is>
      </c>
      <c r="C9" t="inlineStr">
        <is>
          <t>Hopitaux</t>
        </is>
      </c>
      <c r="D9" t="inlineStr">
        <is>
          <t>Casablanca</t>
        </is>
      </c>
      <c r="E9" s="7" t="n">
        <v>2450000</v>
      </c>
      <c r="F9" s="8" t="n">
        <v>273</v>
      </c>
      <c r="G9" s="8" t="n"/>
      <c r="H9" s="8" t="n"/>
      <c r="I9" s="9">
        <f>IFERROR(E9/F9,"")</f>
        <v/>
      </c>
      <c r="J9" t="n">
        <v>4</v>
      </c>
      <c r="K9" t="n">
        <v>3</v>
      </c>
      <c r="P9" t="inlineStr">
        <is>
          <t>LISTED</t>
        </is>
      </c>
      <c r="S9" t="n">
        <v>33.57981317775509</v>
      </c>
      <c r="T9" t="n">
        <v>-7.617956740441102</v>
      </c>
      <c r="U9" s="7" t="n">
        <v>14094</v>
      </c>
      <c r="V9" t="inlineStr"/>
      <c r="W9" s="10" t="inlineStr">
        <is>
          <t>https://yakeey.com/fr-ma/achat/biens/107889</t>
        </is>
      </c>
    </row>
    <row r="10">
      <c r="A10" s="2" t="inlineStr">
        <is>
          <t>108591</t>
        </is>
      </c>
      <c r="B10" s="2" t="inlineStr">
        <is>
          <t>APARTMENT</t>
        </is>
      </c>
      <c r="C10" s="2" t="inlineStr">
        <is>
          <t>Plateau</t>
        </is>
      </c>
      <c r="D10" s="2" t="inlineStr">
        <is>
          <t>Casablanca</t>
        </is>
      </c>
      <c r="E10" s="3" t="n">
        <v>2600000</v>
      </c>
      <c r="F10" s="4" t="n">
        <v>132</v>
      </c>
      <c r="G10" s="4" t="n"/>
      <c r="H10" s="4" t="n"/>
      <c r="I10" s="5">
        <f>IFERROR(E10/F10,"")</f>
        <v/>
      </c>
      <c r="J10" s="2" t="n">
        <v>3</v>
      </c>
      <c r="K10" s="2" t="n">
        <v>2</v>
      </c>
      <c r="L10" s="2" t="n"/>
      <c r="M10" s="2" t="n"/>
      <c r="N10" s="2" t="n"/>
      <c r="O10" s="2" t="n"/>
      <c r="P10" s="2" t="inlineStr">
        <is>
          <t>LISTED</t>
        </is>
      </c>
      <c r="Q10" s="2" t="n"/>
      <c r="R10" s="2" t="n"/>
      <c r="S10" s="2" t="n">
        <v>33.57361631598423</v>
      </c>
      <c r="T10" s="2" t="n">
        <v>-7.636174966301608</v>
      </c>
      <c r="U10" s="3" t="n">
        <v>14957</v>
      </c>
      <c r="V10" s="2" t="inlineStr"/>
      <c r="W10" s="6" t="inlineStr">
        <is>
          <t>https://yakeey.com/fr-ma/achat/biens/108591</t>
        </is>
      </c>
    </row>
    <row r="11">
      <c r="A11" t="inlineStr">
        <is>
          <t>108858</t>
        </is>
      </c>
      <c r="B11" t="inlineStr">
        <is>
          <t>APARTMENT</t>
        </is>
      </c>
      <c r="C11" t="inlineStr">
        <is>
          <t>Plateau</t>
        </is>
      </c>
      <c r="D11" t="inlineStr">
        <is>
          <t>Casablanca</t>
        </is>
      </c>
      <c r="E11" s="7" t="n">
        <v>1950000</v>
      </c>
      <c r="F11" s="8" t="n">
        <v>140</v>
      </c>
      <c r="G11" s="8" t="n"/>
      <c r="H11" s="8" t="n"/>
      <c r="I11" s="9">
        <f>IFERROR(E11/F11,"")</f>
        <v/>
      </c>
      <c r="J11" t="n">
        <v>3</v>
      </c>
      <c r="K11" t="n">
        <v>2</v>
      </c>
      <c r="P11" t="inlineStr">
        <is>
          <t>LISTED</t>
        </is>
      </c>
      <c r="S11" t="n">
        <v>33.57402105551657</v>
      </c>
      <c r="T11" t="n">
        <v>-7.636840887610704</v>
      </c>
      <c r="U11" s="7" t="n">
        <v>11218</v>
      </c>
      <c r="V11" t="inlineStr"/>
      <c r="W11" s="10" t="inlineStr">
        <is>
          <t>https://yakeey.com/fr-ma/achat/biens/108858</t>
        </is>
      </c>
    </row>
    <row r="12">
      <c r="A12" s="2" t="inlineStr">
        <is>
          <t>109720</t>
        </is>
      </c>
      <c r="B12" s="2" t="inlineStr">
        <is>
          <t>APARTMENT</t>
        </is>
      </c>
      <c r="C12" s="2" t="inlineStr">
        <is>
          <t>Fonciere</t>
        </is>
      </c>
      <c r="D12" s="2" t="inlineStr">
        <is>
          <t>Casablanca</t>
        </is>
      </c>
      <c r="E12" s="3" t="n">
        <v>740000</v>
      </c>
      <c r="F12" s="4" t="n">
        <v>81</v>
      </c>
      <c r="G12" s="4" t="n"/>
      <c r="H12" s="4" t="n"/>
      <c r="I12" s="5">
        <f>IFERROR(E12/F12,"")</f>
        <v/>
      </c>
      <c r="J12" s="2" t="n">
        <v>2</v>
      </c>
      <c r="K12" s="2" t="n">
        <v>1</v>
      </c>
      <c r="L12" s="2" t="n"/>
      <c r="M12" s="2" t="n"/>
      <c r="N12" s="2" t="n"/>
      <c r="O12" s="2" t="n"/>
      <c r="P12" s="2" t="inlineStr">
        <is>
          <t>LISTED</t>
        </is>
      </c>
      <c r="Q12" s="2" t="n"/>
      <c r="R12" s="2" t="n"/>
      <c r="S12" s="2" t="n">
        <v>33.59181600809798</v>
      </c>
      <c r="T12" s="2" t="n">
        <v>-7.605955846462599</v>
      </c>
      <c r="U12" s="3" t="n">
        <v>4257</v>
      </c>
      <c r="V12" s="2" t="inlineStr"/>
      <c r="W12" s="6" t="inlineStr">
        <is>
          <t>https://yakeey.com/fr-ma/achat/biens/109720</t>
        </is>
      </c>
    </row>
    <row r="13">
      <c r="A13" t="inlineStr">
        <is>
          <t>109935</t>
        </is>
      </c>
      <c r="B13" t="inlineStr">
        <is>
          <t>APARTMENT</t>
        </is>
      </c>
      <c r="C13" t="inlineStr">
        <is>
          <t>Oulfa</t>
        </is>
      </c>
      <c r="D13" t="inlineStr">
        <is>
          <t>Casablanca</t>
        </is>
      </c>
      <c r="E13" s="7" t="n">
        <v>1200000</v>
      </c>
      <c r="F13" s="8" t="n">
        <v>130</v>
      </c>
      <c r="G13" s="8" t="n"/>
      <c r="H13" s="8" t="n"/>
      <c r="I13" s="9">
        <f>IFERROR(E13/F13,"")</f>
        <v/>
      </c>
      <c r="J13" t="n">
        <v>3</v>
      </c>
      <c r="K13" t="n">
        <v>2</v>
      </c>
      <c r="P13" t="inlineStr">
        <is>
          <t>LISTED</t>
        </is>
      </c>
      <c r="S13" t="n">
        <v>33.53895153876423</v>
      </c>
      <c r="T13" t="n">
        <v>-7.674890398788328</v>
      </c>
      <c r="U13" s="7" t="n">
        <v>6903</v>
      </c>
      <c r="V13" t="inlineStr"/>
      <c r="W13" s="10" t="inlineStr">
        <is>
          <t>https://yakeey.com/fr-ma/achat/biens/109935</t>
        </is>
      </c>
    </row>
    <row r="14">
      <c r="A14" s="2" t="inlineStr">
        <is>
          <t>110558</t>
        </is>
      </c>
      <c r="B14" s="2" t="inlineStr">
        <is>
          <t>APARTMENT</t>
        </is>
      </c>
      <c r="C14" s="2" t="inlineStr">
        <is>
          <t>Gauthier</t>
        </is>
      </c>
      <c r="D14" s="2" t="inlineStr">
        <is>
          <t>Casablanca</t>
        </is>
      </c>
      <c r="E14" s="3" t="n">
        <v>4500000</v>
      </c>
      <c r="F14" s="4" t="n">
        <v>220</v>
      </c>
      <c r="G14" s="4" t="n"/>
      <c r="H14" s="4" t="n"/>
      <c r="I14" s="5">
        <f>IFERROR(E14/F14,"")</f>
        <v/>
      </c>
      <c r="J14" s="2" t="n">
        <v>3</v>
      </c>
      <c r="K14" s="2" t="n">
        <v>2</v>
      </c>
      <c r="L14" s="2" t="n"/>
      <c r="M14" s="2" t="n"/>
      <c r="N14" s="2" t="n"/>
      <c r="O14" s="2" t="n"/>
      <c r="P14" s="2" t="inlineStr">
        <is>
          <t>LISTED</t>
        </is>
      </c>
      <c r="Q14" s="2" t="n"/>
      <c r="R14" s="2" t="n"/>
      <c r="S14" s="2" t="n">
        <v>33.59187274139384</v>
      </c>
      <c r="T14" s="2" t="n">
        <v>-7.629798063987562</v>
      </c>
      <c r="U14" s="3" t="n">
        <v>25888</v>
      </c>
      <c r="V14" s="2" t="inlineStr"/>
      <c r="W14" s="6" t="inlineStr">
        <is>
          <t>https://yakeey.com/fr-ma/achat/biens/110558</t>
        </is>
      </c>
    </row>
    <row r="15">
      <c r="A15" t="inlineStr">
        <is>
          <t>111088</t>
        </is>
      </c>
      <c r="B15" t="inlineStr">
        <is>
          <t>APARTMENT</t>
        </is>
      </c>
      <c r="C15" t="inlineStr">
        <is>
          <t>Californie</t>
        </is>
      </c>
      <c r="D15" t="inlineStr">
        <is>
          <t>Casablanca</t>
        </is>
      </c>
      <c r="E15" s="7" t="n">
        <v>1590000</v>
      </c>
      <c r="F15" s="8" t="n">
        <v>130</v>
      </c>
      <c r="G15" s="8" t="n"/>
      <c r="H15" s="8" t="n"/>
      <c r="I15" s="9">
        <f>IFERROR(E15/F15,"")</f>
        <v/>
      </c>
      <c r="J15" t="n">
        <v>2</v>
      </c>
      <c r="K15" t="n">
        <v>2</v>
      </c>
      <c r="P15" t="inlineStr">
        <is>
          <t>LISTED</t>
        </is>
      </c>
      <c r="S15" t="n">
        <v>33.52828013867801</v>
      </c>
      <c r="T15" t="n">
        <v>-7.611428034905328</v>
      </c>
      <c r="U15" s="7" t="n">
        <v>9147</v>
      </c>
      <c r="V15" t="inlineStr"/>
      <c r="W15" s="10" t="inlineStr">
        <is>
          <t>https://yakeey.com/fr-ma/achat/biens/111088</t>
        </is>
      </c>
    </row>
    <row r="16">
      <c r="A16" s="2" t="inlineStr">
        <is>
          <t>111486</t>
        </is>
      </c>
      <c r="B16" s="2" t="inlineStr">
        <is>
          <t>APARTMENT</t>
        </is>
      </c>
      <c r="C16" s="2" t="inlineStr">
        <is>
          <t>Gauthier</t>
        </is>
      </c>
      <c r="D16" s="2" t="inlineStr">
        <is>
          <t>Casablanca</t>
        </is>
      </c>
      <c r="E16" s="3" t="n">
        <v>2450000</v>
      </c>
      <c r="F16" s="4" t="n">
        <v>173</v>
      </c>
      <c r="G16" s="4" t="n"/>
      <c r="H16" s="4" t="n"/>
      <c r="I16" s="5">
        <f>IFERROR(E16/F16,"")</f>
        <v/>
      </c>
      <c r="J16" s="2" t="n">
        <v>4</v>
      </c>
      <c r="K16" s="2" t="n">
        <v>3</v>
      </c>
      <c r="L16" s="2" t="n"/>
      <c r="M16" s="2" t="n"/>
      <c r="N16" s="2" t="n"/>
      <c r="O16" s="2" t="n"/>
      <c r="P16" s="2" t="inlineStr">
        <is>
          <t>LISTED</t>
        </is>
      </c>
      <c r="Q16" s="2" t="n"/>
      <c r="R16" s="2" t="n"/>
      <c r="S16" s="2" t="n">
        <v>33.59149184421825</v>
      </c>
      <c r="T16" s="2" t="n">
        <v>-7.630239531661541</v>
      </c>
      <c r="U16" s="3" t="n">
        <v>14094</v>
      </c>
      <c r="V16" s="2" t="inlineStr"/>
      <c r="W16" s="6" t="inlineStr">
        <is>
          <t>https://yakeey.com/fr-ma/achat/biens/111486</t>
        </is>
      </c>
    </row>
    <row r="17">
      <c r="A17" t="inlineStr">
        <is>
          <t>111635</t>
        </is>
      </c>
      <c r="B17" t="inlineStr">
        <is>
          <t>APARTMENT</t>
        </is>
      </c>
      <c r="C17" t="inlineStr">
        <is>
          <t>Hopitaux</t>
        </is>
      </c>
      <c r="D17" t="inlineStr">
        <is>
          <t>Casablanca</t>
        </is>
      </c>
      <c r="E17" s="7" t="n">
        <v>1800000</v>
      </c>
      <c r="F17" s="8" t="n">
        <v>116</v>
      </c>
      <c r="G17" s="8" t="n"/>
      <c r="H17" s="8" t="n"/>
      <c r="I17" s="9">
        <f>IFERROR(E17/F17,"")</f>
        <v/>
      </c>
      <c r="J17" t="n">
        <v>3</v>
      </c>
      <c r="K17" t="n">
        <v>2</v>
      </c>
      <c r="P17" t="inlineStr">
        <is>
          <t>LISTED</t>
        </is>
      </c>
      <c r="S17" t="n">
        <v>33.56934127708387</v>
      </c>
      <c r="T17" t="n">
        <v>-7.617718085808355</v>
      </c>
      <c r="U17" s="7" t="n">
        <v>10355</v>
      </c>
      <c r="V17" t="inlineStr"/>
      <c r="W17" s="10" t="inlineStr">
        <is>
          <t>https://yakeey.com/fr-ma/achat/biens/111635</t>
        </is>
      </c>
    </row>
    <row r="18">
      <c r="A18" s="2" t="inlineStr">
        <is>
          <t>111705</t>
        </is>
      </c>
      <c r="B18" s="2" t="inlineStr">
        <is>
          <t>APARTMENT</t>
        </is>
      </c>
      <c r="C18" s="2" t="inlineStr">
        <is>
          <t>Triangle D'Or</t>
        </is>
      </c>
      <c r="D18" s="2" t="inlineStr">
        <is>
          <t>Casablanca</t>
        </is>
      </c>
      <c r="E18" s="3" t="n">
        <v>4700000</v>
      </c>
      <c r="F18" s="4" t="n">
        <v>212</v>
      </c>
      <c r="G18" s="4" t="n"/>
      <c r="H18" s="4" t="n"/>
      <c r="I18" s="5">
        <f>IFERROR(E18/F18,"")</f>
        <v/>
      </c>
      <c r="J18" s="2" t="n">
        <v>4</v>
      </c>
      <c r="K18" s="2" t="n">
        <v>3</v>
      </c>
      <c r="L18" s="2" t="n"/>
      <c r="M18" s="2" t="n"/>
      <c r="N18" s="2" t="n"/>
      <c r="O18" s="2" t="n"/>
      <c r="P18" s="2" t="inlineStr">
        <is>
          <t>LISTED</t>
        </is>
      </c>
      <c r="Q18" s="2" t="n"/>
      <c r="R18" s="2" t="n"/>
      <c r="S18" s="2" t="n">
        <v>33.5943102322219</v>
      </c>
      <c r="T18" s="2" t="n">
        <v>-7.644729167439513</v>
      </c>
      <c r="U18" s="3" t="n">
        <v>27039</v>
      </c>
      <c r="V18" s="2" t="inlineStr"/>
      <c r="W18" s="6" t="inlineStr">
        <is>
          <t>https://yakeey.com/fr-ma/achat/biens/111705</t>
        </is>
      </c>
    </row>
    <row r="19">
      <c r="A19" t="inlineStr">
        <is>
          <t>111729</t>
        </is>
      </c>
      <c r="B19" t="inlineStr">
        <is>
          <t>APARTMENT</t>
        </is>
      </c>
      <c r="C19" t="inlineStr">
        <is>
          <t>Racine</t>
        </is>
      </c>
      <c r="D19" t="inlineStr">
        <is>
          <t>Casablanca</t>
        </is>
      </c>
      <c r="E19" s="7" t="n">
        <v>3450000</v>
      </c>
      <c r="F19" s="8" t="n">
        <v>205</v>
      </c>
      <c r="G19" s="8" t="n"/>
      <c r="H19" s="8" t="n"/>
      <c r="I19" s="9">
        <f>IFERROR(E19/F19,"")</f>
        <v/>
      </c>
      <c r="J19" t="n">
        <v>3</v>
      </c>
      <c r="K19" t="n">
        <v>2</v>
      </c>
      <c r="P19" t="inlineStr">
        <is>
          <t>LISTED</t>
        </is>
      </c>
      <c r="S19" t="n">
        <v>33.59080294527782</v>
      </c>
      <c r="T19" t="n">
        <v>-7.644855768947579</v>
      </c>
      <c r="U19" s="7" t="n">
        <v>19848</v>
      </c>
      <c r="V19" t="inlineStr"/>
      <c r="W19" s="10" t="inlineStr">
        <is>
          <t>https://yakeey.com/fr-ma/achat/biens/111729</t>
        </is>
      </c>
    </row>
    <row r="20">
      <c r="A20" s="2" t="inlineStr">
        <is>
          <t>112045</t>
        </is>
      </c>
      <c r="B20" s="2" t="inlineStr">
        <is>
          <t>APARTMENT</t>
        </is>
      </c>
      <c r="C20" s="2" t="inlineStr">
        <is>
          <t>Mandarouna</t>
        </is>
      </c>
      <c r="D20" s="2" t="inlineStr">
        <is>
          <t>Casablanca</t>
        </is>
      </c>
      <c r="E20" s="3" t="n">
        <v>2500000</v>
      </c>
      <c r="F20" s="4" t="n">
        <v>154</v>
      </c>
      <c r="G20" s="4" t="n"/>
      <c r="H20" s="4" t="n"/>
      <c r="I20" s="5">
        <f>IFERROR(E20/F20,"")</f>
        <v/>
      </c>
      <c r="J20" s="2" t="n">
        <v>3</v>
      </c>
      <c r="K20" s="2" t="n">
        <v>2</v>
      </c>
      <c r="L20" s="2" t="n"/>
      <c r="M20" s="2" t="n"/>
      <c r="N20" s="2" t="n"/>
      <c r="O20" s="2" t="n"/>
      <c r="P20" s="2" t="inlineStr">
        <is>
          <t>LISTED</t>
        </is>
      </c>
      <c r="Q20" s="2" t="n"/>
      <c r="R20" s="2" t="n"/>
      <c r="S20" s="2" t="n">
        <v>33.52916315273811</v>
      </c>
      <c r="T20" s="2" t="n">
        <v>-7.6158499336031</v>
      </c>
      <c r="U20" s="3" t="n">
        <v>14382</v>
      </c>
      <c r="V20" s="2" t="inlineStr"/>
      <c r="W20" s="6" t="inlineStr">
        <is>
          <t>https://yakeey.com/fr-ma/achat/biens/112045</t>
        </is>
      </c>
    </row>
    <row r="21">
      <c r="A21" t="inlineStr">
        <is>
          <t>112352</t>
        </is>
      </c>
      <c r="B21" t="inlineStr">
        <is>
          <t>APARTMENT</t>
        </is>
      </c>
      <c r="C21" t="inlineStr">
        <is>
          <t>Beausejour</t>
        </is>
      </c>
      <c r="D21" t="inlineStr">
        <is>
          <t>Casablanca</t>
        </is>
      </c>
      <c r="E21" s="7" t="n">
        <v>1800000</v>
      </c>
      <c r="F21" s="8" t="n">
        <v>126</v>
      </c>
      <c r="G21" s="8" t="n"/>
      <c r="H21" s="8" t="n"/>
      <c r="I21" s="9">
        <f>IFERROR(E21/F21,"")</f>
        <v/>
      </c>
      <c r="J21" t="n">
        <v>2</v>
      </c>
      <c r="K21" t="n">
        <v>1</v>
      </c>
      <c r="P21" t="inlineStr">
        <is>
          <t>LISTED</t>
        </is>
      </c>
      <c r="S21" t="n">
        <v>33.5661758624331</v>
      </c>
      <c r="T21" t="n">
        <v>-7.655482846806397</v>
      </c>
      <c r="U21" s="7" t="n">
        <v>10355</v>
      </c>
      <c r="V21" t="inlineStr"/>
      <c r="W21" s="10" t="inlineStr">
        <is>
          <t>https://yakeey.com/fr-ma/achat/biens/112352</t>
        </is>
      </c>
    </row>
    <row r="22">
      <c r="A22" s="2" t="inlineStr">
        <is>
          <t>113513</t>
        </is>
      </c>
      <c r="B22" s="2" t="inlineStr">
        <is>
          <t>APARTMENT</t>
        </is>
      </c>
      <c r="C22" s="2" t="inlineStr">
        <is>
          <t>La Gironde</t>
        </is>
      </c>
      <c r="D22" s="2" t="inlineStr">
        <is>
          <t>Casablanca</t>
        </is>
      </c>
      <c r="E22" s="3" t="n">
        <v>1200000</v>
      </c>
      <c r="F22" s="4" t="n">
        <v>115</v>
      </c>
      <c r="G22" s="4" t="n"/>
      <c r="H22" s="4" t="n"/>
      <c r="I22" s="5">
        <f>IFERROR(E22/F22,"")</f>
        <v/>
      </c>
      <c r="J22" s="2" t="n">
        <v>3</v>
      </c>
      <c r="K22" s="2" t="n">
        <v>1</v>
      </c>
      <c r="L22" s="2" t="n"/>
      <c r="M22" s="2" t="n"/>
      <c r="N22" s="2" t="n"/>
      <c r="O22" s="2" t="n"/>
      <c r="P22" s="2" t="inlineStr">
        <is>
          <t>LISTED</t>
        </is>
      </c>
      <c r="Q22" s="2" t="n"/>
      <c r="R22" s="2" t="n"/>
      <c r="S22" s="2" t="n">
        <v>33.58652772021316</v>
      </c>
      <c r="T22" s="2" t="n">
        <v>-7.601928901812074</v>
      </c>
      <c r="U22" s="3" t="n">
        <v>6903</v>
      </c>
      <c r="V22" s="2" t="inlineStr"/>
      <c r="W22" s="6" t="inlineStr">
        <is>
          <t>https://yakeey.com/fr-ma/achat/biens/113513</t>
        </is>
      </c>
    </row>
    <row r="23">
      <c r="A23" t="inlineStr">
        <is>
          <t>114031</t>
        </is>
      </c>
      <c r="B23" t="inlineStr">
        <is>
          <t>APARTMENT</t>
        </is>
      </c>
      <c r="C23" t="inlineStr">
        <is>
          <t>Beausejour</t>
        </is>
      </c>
      <c r="D23" t="inlineStr">
        <is>
          <t>Casablanca</t>
        </is>
      </c>
      <c r="E23" s="7" t="n">
        <v>2100000</v>
      </c>
      <c r="F23" s="8" t="n">
        <v>297</v>
      </c>
      <c r="G23" s="8" t="n"/>
      <c r="H23" s="8" t="n"/>
      <c r="I23" s="9">
        <f>IFERROR(E23/F23,"")</f>
        <v/>
      </c>
      <c r="J23" t="n">
        <v>3</v>
      </c>
      <c r="K23" t="n">
        <v>2</v>
      </c>
      <c r="P23" t="inlineStr">
        <is>
          <t>LISTED</t>
        </is>
      </c>
      <c r="S23" t="n">
        <v>33.56623329334436</v>
      </c>
      <c r="T23" t="n">
        <v>-7.648792687499801</v>
      </c>
      <c r="U23" s="7" t="n">
        <v>12081</v>
      </c>
      <c r="V23" t="inlineStr"/>
      <c r="W23" s="10" t="inlineStr">
        <is>
          <t>https://yakeey.com/fr-ma/achat/biens/114031</t>
        </is>
      </c>
    </row>
    <row r="24">
      <c r="A24" s="2" t="inlineStr">
        <is>
          <t>114189</t>
        </is>
      </c>
      <c r="B24" s="2" t="inlineStr">
        <is>
          <t>APARTMENT</t>
        </is>
      </c>
      <c r="C24" s="2" t="inlineStr">
        <is>
          <t>Belvedere (Roches Noires)</t>
        </is>
      </c>
      <c r="D24" s="2" t="inlineStr">
        <is>
          <t>Casablanca</t>
        </is>
      </c>
      <c r="E24" s="3" t="n">
        <v>1545000</v>
      </c>
      <c r="F24" s="4" t="n">
        <v>104</v>
      </c>
      <c r="G24" s="4" t="n"/>
      <c r="H24" s="4" t="n"/>
      <c r="I24" s="5">
        <f>IFERROR(E24/F24,"")</f>
        <v/>
      </c>
      <c r="J24" s="2" t="n">
        <v>2</v>
      </c>
      <c r="K24" s="2" t="n">
        <v>2</v>
      </c>
      <c r="L24" s="2" t="n"/>
      <c r="M24" s="2" t="n"/>
      <c r="N24" s="2" t="n"/>
      <c r="O24" s="2" t="n"/>
      <c r="P24" s="2" t="inlineStr">
        <is>
          <t>LISTED</t>
        </is>
      </c>
      <c r="Q24" s="2" t="n"/>
      <c r="R24" s="2" t="n"/>
      <c r="S24" s="2" t="n">
        <v>33.59374935530934</v>
      </c>
      <c r="T24" s="2" t="n">
        <v>-7.598318807080856</v>
      </c>
      <c r="U24" s="3" t="n">
        <v>8888</v>
      </c>
      <c r="V24" s="2" t="inlineStr"/>
      <c r="W24" s="6" t="inlineStr">
        <is>
          <t>https://yakeey.com/fr-ma/achat/biens/114189</t>
        </is>
      </c>
    </row>
    <row r="25">
      <c r="A25" t="inlineStr">
        <is>
          <t>114890</t>
        </is>
      </c>
      <c r="B25" t="inlineStr">
        <is>
          <t>APARTMENT</t>
        </is>
      </c>
      <c r="C25" t="inlineStr">
        <is>
          <t>Oasis</t>
        </is>
      </c>
      <c r="D25" t="inlineStr">
        <is>
          <t>Casablanca</t>
        </is>
      </c>
      <c r="E25" s="7" t="n">
        <v>2200000</v>
      </c>
      <c r="F25" s="8" t="n">
        <v>90</v>
      </c>
      <c r="G25" s="8" t="n"/>
      <c r="H25" s="8" t="n"/>
      <c r="I25" s="9">
        <f>IFERROR(E25/F25,"")</f>
        <v/>
      </c>
      <c r="J25" t="n">
        <v>2</v>
      </c>
      <c r="K25" t="n">
        <v>2</v>
      </c>
      <c r="P25" t="inlineStr">
        <is>
          <t>LISTED</t>
        </is>
      </c>
      <c r="S25" t="n">
        <v>33.56068777118264</v>
      </c>
      <c r="T25" t="n">
        <v>-7.630422938256835</v>
      </c>
      <c r="U25" s="7" t="n">
        <v>12656</v>
      </c>
      <c r="V25" t="inlineStr"/>
      <c r="W25" s="10" t="inlineStr">
        <is>
          <t>https://yakeey.com/fr-ma/achat/biens/114890</t>
        </is>
      </c>
    </row>
    <row r="26">
      <c r="A26" s="2" t="inlineStr">
        <is>
          <t>114939</t>
        </is>
      </c>
      <c r="B26" s="2" t="inlineStr">
        <is>
          <t>APARTMENT</t>
        </is>
      </c>
      <c r="C26" s="2" t="inlineStr">
        <is>
          <t>La Gironde</t>
        </is>
      </c>
      <c r="D26" s="2" t="inlineStr">
        <is>
          <t>Casablanca</t>
        </is>
      </c>
      <c r="E26" s="3" t="n">
        <v>1550000</v>
      </c>
      <c r="F26" s="4" t="n">
        <v>140</v>
      </c>
      <c r="G26" s="4" t="n"/>
      <c r="H26" s="4" t="n"/>
      <c r="I26" s="5">
        <f>IFERROR(E26/F26,"")</f>
        <v/>
      </c>
      <c r="J26" s="2" t="n">
        <v>3</v>
      </c>
      <c r="K26" s="2" t="n">
        <v>2</v>
      </c>
      <c r="L26" s="2" t="n"/>
      <c r="M26" s="2" t="n"/>
      <c r="N26" s="2" t="n"/>
      <c r="O26" s="2" t="n"/>
      <c r="P26" s="2" t="inlineStr">
        <is>
          <t>LISTED</t>
        </is>
      </c>
      <c r="Q26" s="2" t="n"/>
      <c r="R26" s="2" t="n"/>
      <c r="S26" s="2" t="n">
        <v>33.5872694619901</v>
      </c>
      <c r="T26" s="2" t="n">
        <v>-7.603266668769469</v>
      </c>
      <c r="U26" s="3" t="n">
        <v>8917</v>
      </c>
      <c r="V26" s="2" t="inlineStr"/>
      <c r="W26" s="6" t="inlineStr">
        <is>
          <t>https://yakeey.com/fr-ma/achat/biens/114939</t>
        </is>
      </c>
    </row>
    <row r="27">
      <c r="A27" t="inlineStr">
        <is>
          <t>115083</t>
        </is>
      </c>
      <c r="B27" t="inlineStr">
        <is>
          <t>APARTMENT</t>
        </is>
      </c>
      <c r="C27" t="inlineStr">
        <is>
          <t>Gauthier</t>
        </is>
      </c>
      <c r="D27" t="inlineStr">
        <is>
          <t>Casablanca</t>
        </is>
      </c>
      <c r="E27" s="7" t="n">
        <v>3100000</v>
      </c>
      <c r="F27" s="8" t="n">
        <v>146</v>
      </c>
      <c r="G27" s="8" t="n"/>
      <c r="H27" s="8" t="n"/>
      <c r="I27" s="9">
        <f>IFERROR(E27/F27,"")</f>
        <v/>
      </c>
      <c r="J27" t="n">
        <v>2</v>
      </c>
      <c r="K27" t="n">
        <v>2</v>
      </c>
      <c r="P27" t="inlineStr">
        <is>
          <t>LISTED</t>
        </is>
      </c>
      <c r="S27" t="n">
        <v>33.5910467068807</v>
      </c>
      <c r="T27" t="n">
        <v>-7.632788545334576</v>
      </c>
      <c r="U27" s="7" t="n">
        <v>17834</v>
      </c>
      <c r="V27" t="inlineStr"/>
      <c r="W27" s="10" t="inlineStr">
        <is>
          <t>https://yakeey.com/fr-ma/achat/biens/115083</t>
        </is>
      </c>
    </row>
    <row r="28">
      <c r="A28" s="2" t="inlineStr">
        <is>
          <t>115959</t>
        </is>
      </c>
      <c r="B28" s="2" t="inlineStr">
        <is>
          <t>APARTMENT</t>
        </is>
      </c>
      <c r="C28" s="2" t="inlineStr">
        <is>
          <t>Cil</t>
        </is>
      </c>
      <c r="D28" s="2" t="inlineStr">
        <is>
          <t>Casablanca</t>
        </is>
      </c>
      <c r="E28" s="3" t="n">
        <v>1350000</v>
      </c>
      <c r="F28" s="4" t="n">
        <v>99</v>
      </c>
      <c r="G28" s="4" t="n"/>
      <c r="H28" s="4" t="n"/>
      <c r="I28" s="5">
        <f>IFERROR(E28/F28,"")</f>
        <v/>
      </c>
      <c r="J28" s="2" t="n">
        <v>3</v>
      </c>
      <c r="K28" s="2" t="n">
        <v>1</v>
      </c>
      <c r="L28" s="2" t="n"/>
      <c r="M28" s="2" t="n"/>
      <c r="N28" s="2" t="n"/>
      <c r="O28" s="2" t="n"/>
      <c r="P28" s="2" t="inlineStr">
        <is>
          <t>LISTED</t>
        </is>
      </c>
      <c r="Q28" s="2" t="n"/>
      <c r="R28" s="2" t="n"/>
      <c r="S28" s="2" t="n">
        <v>33.57286832783634</v>
      </c>
      <c r="T28" s="2" t="n">
        <v>-7.649565704800654</v>
      </c>
      <c r="U28" s="3" t="n">
        <v>7766</v>
      </c>
      <c r="V28" s="2" t="inlineStr"/>
      <c r="W28" s="6" t="inlineStr">
        <is>
          <t>https://yakeey.com/fr-ma/achat/biens/115959</t>
        </is>
      </c>
    </row>
    <row r="29">
      <c r="A29" t="inlineStr">
        <is>
          <t>1164</t>
        </is>
      </c>
      <c r="B29" t="inlineStr">
        <is>
          <t>APARTMENT</t>
        </is>
      </c>
      <c r="C29" t="inlineStr">
        <is>
          <t>Derb Omar</t>
        </is>
      </c>
      <c r="D29" t="inlineStr">
        <is>
          <t>Casablanca</t>
        </is>
      </c>
      <c r="E29" s="7" t="n">
        <v>1800000</v>
      </c>
      <c r="F29" s="8" t="n">
        <v>133</v>
      </c>
      <c r="G29" s="8" t="n"/>
      <c r="H29" s="8" t="n"/>
      <c r="I29" s="9">
        <f>IFERROR(E29/F29,"")</f>
        <v/>
      </c>
      <c r="J29" t="n">
        <v>3</v>
      </c>
      <c r="K29" t="n">
        <v>2</v>
      </c>
      <c r="P29" t="inlineStr">
        <is>
          <t>LISTED</t>
        </is>
      </c>
      <c r="S29" t="n">
        <v>33.58662658916311</v>
      </c>
      <c r="T29" t="n">
        <v>-7.606584384607608</v>
      </c>
      <c r="U29" s="7" t="n">
        <v>10355</v>
      </c>
      <c r="V29" t="inlineStr"/>
      <c r="W29" s="10" t="inlineStr">
        <is>
          <t>https://yakeey.com/fr-ma/achat/biens/1164</t>
        </is>
      </c>
    </row>
    <row r="30">
      <c r="A30" s="2" t="inlineStr">
        <is>
          <t>11675</t>
        </is>
      </c>
      <c r="B30" s="2" t="inlineStr">
        <is>
          <t>APARTMENT</t>
        </is>
      </c>
      <c r="C30" s="2" t="inlineStr">
        <is>
          <t>Nassim</t>
        </is>
      </c>
      <c r="D30" s="2" t="inlineStr">
        <is>
          <t>Casablanca</t>
        </is>
      </c>
      <c r="E30" s="3" t="n">
        <v>790000</v>
      </c>
      <c r="F30" s="4" t="n">
        <v>97</v>
      </c>
      <c r="G30" s="4" t="n"/>
      <c r="H30" s="4" t="n"/>
      <c r="I30" s="5">
        <f>IFERROR(E30/F30,"")</f>
        <v/>
      </c>
      <c r="J30" s="2" t="n">
        <v>2</v>
      </c>
      <c r="K30" s="2" t="n">
        <v>1</v>
      </c>
      <c r="L30" s="2" t="n"/>
      <c r="M30" s="2" t="n"/>
      <c r="N30" s="2" t="n"/>
      <c r="O30" s="2" t="n"/>
      <c r="P30" s="2" t="inlineStr">
        <is>
          <t>LISTED</t>
        </is>
      </c>
      <c r="Q30" s="2" t="n"/>
      <c r="R30" s="2" t="n"/>
      <c r="S30" s="2" t="n">
        <v>33.5247892594403</v>
      </c>
      <c r="T30" s="2" t="n">
        <v>-7.658121720782494</v>
      </c>
      <c r="U30" s="3" t="n">
        <v>4544</v>
      </c>
      <c r="V30" s="2" t="inlineStr"/>
      <c r="W30" s="6" t="inlineStr">
        <is>
          <t>https://yakeey.com/fr-ma/achat/biens/11675</t>
        </is>
      </c>
    </row>
    <row r="31">
      <c r="A31" t="inlineStr">
        <is>
          <t>116894</t>
        </is>
      </c>
      <c r="B31" t="inlineStr">
        <is>
          <t>APARTMENT</t>
        </is>
      </c>
      <c r="C31" t="inlineStr">
        <is>
          <t>Sidi Moumen</t>
        </is>
      </c>
      <c r="D31" t="inlineStr">
        <is>
          <t>Casablanca</t>
        </is>
      </c>
      <c r="E31" s="7" t="n">
        <v>1260000</v>
      </c>
      <c r="F31" s="8" t="n">
        <v>111</v>
      </c>
      <c r="G31" s="8" t="n"/>
      <c r="H31" s="8" t="n"/>
      <c r="I31" s="9">
        <f>IFERROR(E31/F31,"")</f>
        <v/>
      </c>
      <c r="J31" t="n">
        <v>3</v>
      </c>
      <c r="K31" t="n">
        <v>2</v>
      </c>
      <c r="P31" t="inlineStr">
        <is>
          <t>LISTED</t>
        </is>
      </c>
      <c r="S31" t="n">
        <v>33.58123420400013</v>
      </c>
      <c r="T31" t="n">
        <v>-7.523643026554959</v>
      </c>
      <c r="U31" s="7" t="n">
        <v>7248</v>
      </c>
      <c r="V31" t="inlineStr"/>
      <c r="W31" s="10" t="inlineStr">
        <is>
          <t>https://yakeey.com/fr-ma/achat/biens/116894</t>
        </is>
      </c>
    </row>
    <row r="32">
      <c r="A32" s="2" t="inlineStr">
        <is>
          <t>117064</t>
        </is>
      </c>
      <c r="B32" s="2" t="inlineStr">
        <is>
          <t>APARTMENT</t>
        </is>
      </c>
      <c r="C32" s="2" t="inlineStr">
        <is>
          <t>La Gironde</t>
        </is>
      </c>
      <c r="D32" s="2" t="inlineStr">
        <is>
          <t>Casablanca</t>
        </is>
      </c>
      <c r="E32" s="3" t="n">
        <v>1220000</v>
      </c>
      <c r="F32" s="4" t="n">
        <v>108</v>
      </c>
      <c r="G32" s="4" t="n"/>
      <c r="H32" s="4" t="n"/>
      <c r="I32" s="5">
        <f>IFERROR(E32/F32,"")</f>
        <v/>
      </c>
      <c r="J32" s="2" t="n">
        <v>4</v>
      </c>
      <c r="K32" s="2" t="n">
        <v>2</v>
      </c>
      <c r="L32" s="2" t="n"/>
      <c r="M32" s="2" t="n"/>
      <c r="N32" s="2" t="n"/>
      <c r="O32" s="2" t="n"/>
      <c r="P32" s="2" t="inlineStr">
        <is>
          <t>LISTED</t>
        </is>
      </c>
      <c r="Q32" s="2" t="n"/>
      <c r="R32" s="2" t="n"/>
      <c r="S32" s="2" t="n">
        <v>33.58797896062683</v>
      </c>
      <c r="T32" s="2" t="n">
        <v>-7.602360733286131</v>
      </c>
      <c r="U32" s="3" t="n">
        <v>7018</v>
      </c>
      <c r="V32" s="2" t="inlineStr"/>
      <c r="W32" s="6" t="inlineStr">
        <is>
          <t>https://yakeey.com/fr-ma/achat/biens/117064</t>
        </is>
      </c>
    </row>
    <row r="33">
      <c r="A33" t="inlineStr">
        <is>
          <t>117068</t>
        </is>
      </c>
      <c r="B33" t="inlineStr">
        <is>
          <t>APARTMENT</t>
        </is>
      </c>
      <c r="C33" t="inlineStr">
        <is>
          <t>Sidi Bernoussi</t>
        </is>
      </c>
      <c r="D33" t="inlineStr">
        <is>
          <t>Casablanca</t>
        </is>
      </c>
      <c r="E33" s="7" t="n">
        <v>1030000</v>
      </c>
      <c r="F33" s="8" t="n">
        <v>99</v>
      </c>
      <c r="G33" s="8" t="n"/>
      <c r="H33" s="8" t="n"/>
      <c r="I33" s="9">
        <f>IFERROR(E33/F33,"")</f>
        <v/>
      </c>
      <c r="J33" t="n">
        <v>2</v>
      </c>
      <c r="K33" t="n">
        <v>1</v>
      </c>
      <c r="P33" t="inlineStr">
        <is>
          <t>LISTED</t>
        </is>
      </c>
      <c r="S33" t="n">
        <v>33.62025248291871</v>
      </c>
      <c r="T33" t="n">
        <v>-7.481681802375133</v>
      </c>
      <c r="U33" s="7" t="n">
        <v>5925</v>
      </c>
      <c r="V33" t="inlineStr"/>
      <c r="W33" s="10" t="inlineStr">
        <is>
          <t>https://yakeey.com/fr-ma/achat/biens/117068</t>
        </is>
      </c>
    </row>
    <row r="34">
      <c r="A34" s="2" t="inlineStr">
        <is>
          <t>117279</t>
        </is>
      </c>
      <c r="B34" s="2" t="inlineStr">
        <is>
          <t>APARTMENT</t>
        </is>
      </c>
      <c r="C34" s="2" t="inlineStr">
        <is>
          <t>Benmsick</t>
        </is>
      </c>
      <c r="D34" s="2" t="inlineStr">
        <is>
          <t>Casablanca</t>
        </is>
      </c>
      <c r="E34" s="3" t="n">
        <v>720000</v>
      </c>
      <c r="F34" s="4" t="n">
        <v>68</v>
      </c>
      <c r="G34" s="4" t="n"/>
      <c r="H34" s="4" t="n"/>
      <c r="I34" s="5">
        <f>IFERROR(E34/F34,"")</f>
        <v/>
      </c>
      <c r="J34" s="2" t="n">
        <v>2</v>
      </c>
      <c r="K34" s="2" t="n">
        <v>1</v>
      </c>
      <c r="L34" s="2" t="n"/>
      <c r="M34" s="2" t="n"/>
      <c r="N34" s="2" t="n"/>
      <c r="O34" s="2" t="n"/>
      <c r="P34" s="2" t="inlineStr">
        <is>
          <t>LISTED</t>
        </is>
      </c>
      <c r="Q34" s="2" t="n"/>
      <c r="R34" s="2" t="n"/>
      <c r="S34" s="2" t="n">
        <v>33.55668259152668</v>
      </c>
      <c r="T34" s="2" t="n">
        <v>-7.581508634151922</v>
      </c>
      <c r="U34" s="3" t="n">
        <v>4142</v>
      </c>
      <c r="V34" s="2" t="inlineStr"/>
      <c r="W34" s="6" t="inlineStr">
        <is>
          <t>https://yakeey.com/fr-ma/achat/biens/117279</t>
        </is>
      </c>
    </row>
    <row r="35">
      <c r="A35" t="inlineStr">
        <is>
          <t>117429</t>
        </is>
      </c>
      <c r="B35" t="inlineStr">
        <is>
          <t>APARTMENT</t>
        </is>
      </c>
      <c r="C35" t="inlineStr">
        <is>
          <t>La Gironde</t>
        </is>
      </c>
      <c r="D35" t="inlineStr">
        <is>
          <t>Casablanca</t>
        </is>
      </c>
      <c r="E35" s="7" t="n">
        <v>1270000</v>
      </c>
      <c r="F35" s="8" t="n">
        <v>111</v>
      </c>
      <c r="G35" s="8" t="n"/>
      <c r="H35" s="8" t="n"/>
      <c r="I35" s="9">
        <f>IFERROR(E35/F35,"")</f>
        <v/>
      </c>
      <c r="J35" t="n">
        <v>2</v>
      </c>
      <c r="K35" t="n">
        <v>1</v>
      </c>
      <c r="P35" t="inlineStr">
        <is>
          <t>LISTED</t>
        </is>
      </c>
      <c r="S35" t="n">
        <v>33.58683095135723</v>
      </c>
      <c r="T35" t="n">
        <v>-7.605792947784214</v>
      </c>
      <c r="U35" s="7" t="n">
        <v>7306</v>
      </c>
      <c r="V35" t="inlineStr"/>
      <c r="W35" s="10" t="inlineStr">
        <is>
          <t>https://yakeey.com/fr-ma/achat/biens/117429</t>
        </is>
      </c>
    </row>
    <row r="36">
      <c r="A36" s="2" t="inlineStr">
        <is>
          <t>117555</t>
        </is>
      </c>
      <c r="B36" s="2" t="inlineStr">
        <is>
          <t>APARTMENT</t>
        </is>
      </c>
      <c r="C36" s="2" t="inlineStr">
        <is>
          <t>Ain Sebaa</t>
        </is>
      </c>
      <c r="D36" s="2" t="inlineStr">
        <is>
          <t>Casablanca</t>
        </is>
      </c>
      <c r="E36" s="3" t="n">
        <v>450000</v>
      </c>
      <c r="F36" s="4" t="n">
        <v>60</v>
      </c>
      <c r="G36" s="4" t="n"/>
      <c r="H36" s="4" t="n"/>
      <c r="I36" s="5">
        <f>IFERROR(E36/F36,"")</f>
        <v/>
      </c>
      <c r="J36" s="2" t="n">
        <v>2</v>
      </c>
      <c r="K36" s="2" t="n">
        <v>1</v>
      </c>
      <c r="L36" s="2" t="n"/>
      <c r="M36" s="2" t="n"/>
      <c r="N36" s="2" t="n"/>
      <c r="O36" s="2" t="n"/>
      <c r="P36" s="2" t="inlineStr">
        <is>
          <t>LISTED</t>
        </is>
      </c>
      <c r="Q36" s="2" t="n"/>
      <c r="R36" s="2" t="n"/>
      <c r="S36" s="2" t="n">
        <v>33.59971240750485</v>
      </c>
      <c r="T36" s="2" t="n">
        <v>-7.535607906116542</v>
      </c>
      <c r="U36" s="3" t="n">
        <v>2588</v>
      </c>
      <c r="V36" s="2" t="inlineStr"/>
      <c r="W36" s="6" t="inlineStr">
        <is>
          <t>https://yakeey.com/fr-ma/achat/biens/117555</t>
        </is>
      </c>
    </row>
    <row r="37">
      <c r="A37" t="inlineStr">
        <is>
          <t>117593</t>
        </is>
      </c>
      <c r="B37" t="inlineStr">
        <is>
          <t>APARTMENT</t>
        </is>
      </c>
      <c r="C37" t="inlineStr">
        <is>
          <t>Bourgogne (Sidi Belyout)</t>
        </is>
      </c>
      <c r="D37" t="inlineStr">
        <is>
          <t>Casablanca</t>
        </is>
      </c>
      <c r="E37" s="7" t="n">
        <v>1934222</v>
      </c>
      <c r="F37" s="8" t="n">
        <v>162</v>
      </c>
      <c r="G37" s="8" t="n"/>
      <c r="H37" s="8" t="n"/>
      <c r="I37" s="9">
        <f>IFERROR(E37/F37,"")</f>
        <v/>
      </c>
      <c r="J37" t="n">
        <v>3</v>
      </c>
      <c r="K37" t="n">
        <v>2</v>
      </c>
      <c r="P37" t="inlineStr">
        <is>
          <t>LISTED</t>
        </is>
      </c>
      <c r="S37" t="n">
        <v>33.59321015453886</v>
      </c>
      <c r="T37" t="n">
        <v>-7.629877133977225</v>
      </c>
      <c r="U37" s="7" t="n">
        <v>11127</v>
      </c>
      <c r="V37" t="inlineStr"/>
      <c r="W37" s="10" t="inlineStr">
        <is>
          <t>https://yakeey.com/fr-ma/achat/biens/117593</t>
        </is>
      </c>
    </row>
    <row r="38">
      <c r="A38" s="2" t="inlineStr">
        <is>
          <t>117656</t>
        </is>
      </c>
      <c r="B38" s="2" t="inlineStr">
        <is>
          <t>APARTMENT</t>
        </is>
      </c>
      <c r="C38" s="2" t="inlineStr">
        <is>
          <t>Palmier (Maarif)</t>
        </is>
      </c>
      <c r="D38" s="2" t="inlineStr">
        <is>
          <t>Casablanca</t>
        </is>
      </c>
      <c r="E38" s="3" t="n">
        <v>3600000</v>
      </c>
      <c r="F38" s="4" t="n">
        <v>173</v>
      </c>
      <c r="G38" s="4" t="n"/>
      <c r="H38" s="4" t="n"/>
      <c r="I38" s="5">
        <f>IFERROR(E38/F38,"")</f>
        <v/>
      </c>
      <c r="J38" s="2" t="n">
        <v>3</v>
      </c>
      <c r="K38" s="2" t="n">
        <v>2</v>
      </c>
      <c r="L38" s="2" t="n"/>
      <c r="M38" s="2" t="n"/>
      <c r="N38" s="2" t="n"/>
      <c r="O38" s="2" t="n"/>
      <c r="P38" s="2" t="inlineStr">
        <is>
          <t>LISTED</t>
        </is>
      </c>
      <c r="Q38" s="2" t="n"/>
      <c r="R38" s="2" t="n"/>
      <c r="S38" s="2" t="n">
        <v>33.57946298436363</v>
      </c>
      <c r="T38" s="2" t="n">
        <v>-7.627666155221545</v>
      </c>
      <c r="U38" s="3" t="n">
        <v>20711</v>
      </c>
      <c r="V38" s="2" t="inlineStr"/>
      <c r="W38" s="6" t="inlineStr">
        <is>
          <t>https://yakeey.com/fr-ma/achat/biens/117656</t>
        </is>
      </c>
    </row>
    <row r="39">
      <c r="A39" t="inlineStr">
        <is>
          <t>117798</t>
        </is>
      </c>
      <c r="B39" t="inlineStr">
        <is>
          <t>APARTMENT</t>
        </is>
      </c>
      <c r="C39" t="inlineStr">
        <is>
          <t>Hopitaux</t>
        </is>
      </c>
      <c r="D39" t="inlineStr">
        <is>
          <t>Casablanca</t>
        </is>
      </c>
      <c r="E39" s="7" t="n">
        <v>1620000</v>
      </c>
      <c r="F39" s="8" t="n">
        <v>135</v>
      </c>
      <c r="G39" s="8" t="n"/>
      <c r="H39" s="8" t="n"/>
      <c r="I39" s="9">
        <f>IFERROR(E39/F39,"")</f>
        <v/>
      </c>
      <c r="J39" t="n">
        <v>3</v>
      </c>
      <c r="K39" t="n">
        <v>2</v>
      </c>
      <c r="P39" t="inlineStr">
        <is>
          <t>LISTED</t>
        </is>
      </c>
      <c r="S39" t="n">
        <v>33.58322789826672</v>
      </c>
      <c r="T39" t="n">
        <v>-7.61956698048547</v>
      </c>
      <c r="U39" s="7" t="n">
        <v>9319</v>
      </c>
      <c r="V39" t="inlineStr"/>
      <c r="W39" s="10" t="inlineStr">
        <is>
          <t>https://yakeey.com/fr-ma/achat/biens/117798</t>
        </is>
      </c>
    </row>
    <row r="40">
      <c r="A40" s="2" t="inlineStr">
        <is>
          <t>117853</t>
        </is>
      </c>
      <c r="B40" s="2" t="inlineStr">
        <is>
          <t>APARTMENT</t>
        </is>
      </c>
      <c r="C40" s="2" t="inlineStr">
        <is>
          <t>Racine</t>
        </is>
      </c>
      <c r="D40" s="2" t="inlineStr">
        <is>
          <t>Casablanca</t>
        </is>
      </c>
      <c r="E40" s="3" t="n">
        <v>2950000</v>
      </c>
      <c r="F40" s="4" t="n">
        <v>160</v>
      </c>
      <c r="G40" s="4" t="n"/>
      <c r="H40" s="4" t="n"/>
      <c r="I40" s="5">
        <f>IFERROR(E40/F40,"")</f>
        <v/>
      </c>
      <c r="J40" s="2" t="n">
        <v>3</v>
      </c>
      <c r="K40" s="2" t="n">
        <v>3</v>
      </c>
      <c r="L40" s="2" t="n"/>
      <c r="M40" s="2" t="n"/>
      <c r="N40" s="2" t="n"/>
      <c r="O40" s="2" t="n"/>
      <c r="P40" s="2" t="inlineStr">
        <is>
          <t>LISTED</t>
        </is>
      </c>
      <c r="Q40" s="2" t="n"/>
      <c r="R40" s="2" t="n"/>
      <c r="S40" s="2" t="n">
        <v>33.58720392499195</v>
      </c>
      <c r="T40" s="2" t="n">
        <v>-7.642180057052186</v>
      </c>
      <c r="U40" s="3" t="n">
        <v>16971</v>
      </c>
      <c r="V40" s="2" t="inlineStr"/>
      <c r="W40" s="6" t="inlineStr">
        <is>
          <t>https://yakeey.com/fr-ma/achat/biens/117853</t>
        </is>
      </c>
    </row>
    <row r="41">
      <c r="A41" t="inlineStr">
        <is>
          <t>117893</t>
        </is>
      </c>
      <c r="B41" t="inlineStr">
        <is>
          <t>APARTMENT</t>
        </is>
      </c>
      <c r="C41" t="inlineStr">
        <is>
          <t>Belvedere (Sidi Belyout)</t>
        </is>
      </c>
      <c r="D41" t="inlineStr">
        <is>
          <t>Casablanca</t>
        </is>
      </c>
      <c r="E41" s="7" t="n">
        <v>1170000</v>
      </c>
      <c r="F41" s="8" t="n">
        <v>65</v>
      </c>
      <c r="G41" s="8" t="n"/>
      <c r="H41" s="8" t="n"/>
      <c r="I41" s="9">
        <f>IFERROR(E41/F41,"")</f>
        <v/>
      </c>
      <c r="J41" t="n">
        <v>2</v>
      </c>
      <c r="K41" t="n">
        <v>1</v>
      </c>
      <c r="P41" t="inlineStr">
        <is>
          <t>LISTED</t>
        </is>
      </c>
      <c r="S41" t="n">
        <v>33.59505105684882</v>
      </c>
      <c r="T41" t="n">
        <v>-7.602645190496063</v>
      </c>
      <c r="U41" s="7" t="n">
        <v>6731</v>
      </c>
      <c r="V41" t="inlineStr"/>
      <c r="W41" s="10" t="inlineStr">
        <is>
          <t>https://yakeey.com/fr-ma/achat/biens/117893</t>
        </is>
      </c>
    </row>
    <row r="42">
      <c r="A42" s="2" t="inlineStr">
        <is>
          <t>117939</t>
        </is>
      </c>
      <c r="B42" s="2" t="inlineStr">
        <is>
          <t>APARTMENT</t>
        </is>
      </c>
      <c r="C42" s="2" t="inlineStr">
        <is>
          <t>Ain Diab Extension 2</t>
        </is>
      </c>
      <c r="D42" s="2" t="inlineStr">
        <is>
          <t>Casablanca</t>
        </is>
      </c>
      <c r="E42" s="3" t="n">
        <v>3800000</v>
      </c>
      <c r="F42" s="4" t="n">
        <v>188</v>
      </c>
      <c r="G42" s="4" t="n"/>
      <c r="H42" s="4" t="n"/>
      <c r="I42" s="5">
        <f>IFERROR(E42/F42,"")</f>
        <v/>
      </c>
      <c r="J42" s="2" t="n">
        <v>3</v>
      </c>
      <c r="K42" s="2" t="n">
        <v>2</v>
      </c>
      <c r="L42" s="2" t="n"/>
      <c r="M42" s="2" t="n"/>
      <c r="N42" s="2" t="n"/>
      <c r="O42" s="2" t="n"/>
      <c r="P42" s="2" t="inlineStr">
        <is>
          <t>LISTED</t>
        </is>
      </c>
      <c r="Q42" s="2" t="n"/>
      <c r="R42" s="2" t="n"/>
      <c r="S42" s="2" t="n">
        <v>33.57068256968602</v>
      </c>
      <c r="T42" s="2" t="n">
        <v>-7.693634743565904</v>
      </c>
      <c r="U42" s="3" t="n">
        <v>21861</v>
      </c>
      <c r="V42" s="2" t="inlineStr"/>
      <c r="W42" s="6" t="inlineStr">
        <is>
          <t>https://yakeey.com/fr-ma/achat/biens/117939</t>
        </is>
      </c>
    </row>
    <row r="43">
      <c r="A43" t="inlineStr">
        <is>
          <t>118018</t>
        </is>
      </c>
      <c r="B43" t="inlineStr">
        <is>
          <t>APARTMENT</t>
        </is>
      </c>
      <c r="C43" t="inlineStr">
        <is>
          <t>Ain Sebaa</t>
        </is>
      </c>
      <c r="D43" t="inlineStr">
        <is>
          <t>Casablanca</t>
        </is>
      </c>
      <c r="E43" s="7" t="n">
        <v>600000</v>
      </c>
      <c r="F43" s="8" t="n">
        <v>74</v>
      </c>
      <c r="G43" s="8" t="n"/>
      <c r="H43" s="8" t="n"/>
      <c r="I43" s="9">
        <f>IFERROR(E43/F43,"")</f>
        <v/>
      </c>
      <c r="J43" t="n">
        <v>2</v>
      </c>
      <c r="K43" t="n">
        <v>1</v>
      </c>
      <c r="P43" t="inlineStr">
        <is>
          <t>LISTED</t>
        </is>
      </c>
      <c r="S43" t="n">
        <v>33.60083006683986</v>
      </c>
      <c r="T43" t="n">
        <v>-7.534618101183431</v>
      </c>
      <c r="U43" s="7" t="n">
        <v>3451</v>
      </c>
      <c r="V43" t="inlineStr"/>
      <c r="W43" s="10" t="inlineStr">
        <is>
          <t>https://yakeey.com/fr-ma/achat/biens/118018</t>
        </is>
      </c>
    </row>
    <row r="44">
      <c r="A44" s="2" t="inlineStr">
        <is>
          <t>118227</t>
        </is>
      </c>
      <c r="B44" s="2" t="inlineStr">
        <is>
          <t>APARTMENT</t>
        </is>
      </c>
      <c r="C44" s="2" t="inlineStr">
        <is>
          <t>Californie</t>
        </is>
      </c>
      <c r="D44" s="2" t="inlineStr">
        <is>
          <t>Casablanca</t>
        </is>
      </c>
      <c r="E44" s="3" t="n">
        <v>1550000</v>
      </c>
      <c r="F44" s="4" t="n">
        <v>97</v>
      </c>
      <c r="G44" s="4" t="n"/>
      <c r="H44" s="4" t="n"/>
      <c r="I44" s="5">
        <f>IFERROR(E44/F44,"")</f>
        <v/>
      </c>
      <c r="J44" s="2" t="n">
        <v>3</v>
      </c>
      <c r="K44" s="2" t="n">
        <v>1</v>
      </c>
      <c r="L44" s="2" t="n"/>
      <c r="M44" s="2" t="n"/>
      <c r="N44" s="2" t="n"/>
      <c r="O44" s="2" t="n"/>
      <c r="P44" s="2" t="inlineStr">
        <is>
          <t>LISTED</t>
        </is>
      </c>
      <c r="Q44" s="2" t="n"/>
      <c r="R44" s="2" t="n"/>
      <c r="S44" s="2" t="n">
        <v>33.53058426637998</v>
      </c>
      <c r="T44" s="2" t="n">
        <v>-7.611836884589692</v>
      </c>
      <c r="U44" s="3" t="n">
        <v>8917</v>
      </c>
      <c r="V44" s="2" t="inlineStr"/>
      <c r="W44" s="6" t="inlineStr">
        <is>
          <t>https://yakeey.com/fr-ma/achat/biens/118227</t>
        </is>
      </c>
    </row>
    <row r="45">
      <c r="A45" t="inlineStr">
        <is>
          <t>118375</t>
        </is>
      </c>
      <c r="B45" t="inlineStr">
        <is>
          <t>APARTMENT</t>
        </is>
      </c>
      <c r="C45" t="inlineStr">
        <is>
          <t>Fida</t>
        </is>
      </c>
      <c r="D45" t="inlineStr">
        <is>
          <t>Casablanca</t>
        </is>
      </c>
      <c r="E45" s="7" t="n">
        <v>553500</v>
      </c>
      <c r="F45" s="8" t="n">
        <v>77</v>
      </c>
      <c r="G45" s="8" t="n"/>
      <c r="H45" s="8" t="n"/>
      <c r="I45" s="9">
        <f>IFERROR(E45/F45,"")</f>
        <v/>
      </c>
      <c r="J45" t="n">
        <v>2</v>
      </c>
      <c r="K45" t="n">
        <v>1</v>
      </c>
      <c r="P45" t="inlineStr">
        <is>
          <t>LISTED</t>
        </is>
      </c>
      <c r="S45" t="n">
        <v>33.56345709932715</v>
      </c>
      <c r="T45" t="n">
        <v>-7.60368007880721</v>
      </c>
      <c r="U45" s="7" t="n">
        <v>3184</v>
      </c>
      <c r="V45" t="inlineStr"/>
      <c r="W45" s="10" t="inlineStr">
        <is>
          <t>https://yakeey.com/fr-ma/achat/biens/118375</t>
        </is>
      </c>
    </row>
    <row r="46">
      <c r="A46" s="2" t="inlineStr">
        <is>
          <t>118381</t>
        </is>
      </c>
      <c r="B46" s="2" t="inlineStr">
        <is>
          <t>APARTMENT</t>
        </is>
      </c>
      <c r="C46" s="2" t="inlineStr">
        <is>
          <t>Gauthier</t>
        </is>
      </c>
      <c r="D46" s="2" t="inlineStr">
        <is>
          <t>Casablanca</t>
        </is>
      </c>
      <c r="E46" s="3" t="n">
        <v>1336600</v>
      </c>
      <c r="F46" s="4" t="n">
        <v>94</v>
      </c>
      <c r="G46" s="4" t="n"/>
      <c r="H46" s="4" t="n"/>
      <c r="I46" s="5">
        <f>IFERROR(E46/F46,"")</f>
        <v/>
      </c>
      <c r="J46" s="2" t="n">
        <v>2</v>
      </c>
      <c r="K46" s="2" t="n">
        <v>2</v>
      </c>
      <c r="L46" s="2" t="n"/>
      <c r="M46" s="2" t="n"/>
      <c r="N46" s="2" t="n"/>
      <c r="O46" s="2" t="n"/>
      <c r="P46" s="2" t="inlineStr">
        <is>
          <t>LISTED</t>
        </is>
      </c>
      <c r="Q46" s="2" t="n"/>
      <c r="R46" s="2" t="n"/>
      <c r="S46" s="2" t="n">
        <v>33.58942187319123</v>
      </c>
      <c r="T46" s="2" t="n">
        <v>-7.631614051067643</v>
      </c>
      <c r="U46" s="3" t="n">
        <v>7689</v>
      </c>
      <c r="V46" s="2" t="inlineStr"/>
      <c r="W46" s="6" t="inlineStr">
        <is>
          <t>https://yakeey.com/fr-ma/achat/biens/118381</t>
        </is>
      </c>
    </row>
    <row r="47">
      <c r="A47" t="inlineStr">
        <is>
          <t>119146</t>
        </is>
      </c>
      <c r="B47" t="inlineStr">
        <is>
          <t>APARTMENT</t>
        </is>
      </c>
      <c r="C47" t="inlineStr">
        <is>
          <t>Beausite</t>
        </is>
      </c>
      <c r="D47" t="inlineStr">
        <is>
          <t>Casablanca</t>
        </is>
      </c>
      <c r="E47" s="7" t="n">
        <v>750000</v>
      </c>
      <c r="F47" s="8" t="n">
        <v>68</v>
      </c>
      <c r="G47" s="8" t="n"/>
      <c r="H47" s="8" t="n"/>
      <c r="I47" s="9">
        <f>IFERROR(E47/F47,"")</f>
        <v/>
      </c>
      <c r="J47" t="n">
        <v>2</v>
      </c>
      <c r="K47" t="n">
        <v>1</v>
      </c>
      <c r="P47" t="inlineStr">
        <is>
          <t>LISTED</t>
        </is>
      </c>
      <c r="S47" t="n">
        <v>33.59914371158827</v>
      </c>
      <c r="T47" t="n">
        <v>-7.525121268171</v>
      </c>
      <c r="U47" s="7" t="n">
        <v>4314</v>
      </c>
      <c r="V47" t="inlineStr"/>
      <c r="W47" s="10" t="inlineStr">
        <is>
          <t>https://yakeey.com/fr-ma/achat/biens/119146</t>
        </is>
      </c>
    </row>
    <row r="48">
      <c r="A48" s="2" t="inlineStr">
        <is>
          <t>119373</t>
        </is>
      </c>
      <c r="B48" s="2" t="inlineStr">
        <is>
          <t>APARTMENT</t>
        </is>
      </c>
      <c r="C48" s="2" t="inlineStr">
        <is>
          <t>Hopitaux</t>
        </is>
      </c>
      <c r="D48" s="2" t="inlineStr">
        <is>
          <t>Casablanca</t>
        </is>
      </c>
      <c r="E48" s="3" t="n">
        <v>1990000</v>
      </c>
      <c r="F48" s="4" t="n">
        <v>180</v>
      </c>
      <c r="G48" s="4" t="n"/>
      <c r="H48" s="4" t="n"/>
      <c r="I48" s="5">
        <f>IFERROR(E48/F48,"")</f>
        <v/>
      </c>
      <c r="J48" s="2" t="n">
        <v>3</v>
      </c>
      <c r="K48" s="2" t="n">
        <v>2</v>
      </c>
      <c r="L48" s="2" t="n"/>
      <c r="M48" s="2" t="n"/>
      <c r="N48" s="2" t="n"/>
      <c r="O48" s="2" t="n"/>
      <c r="P48" s="2" t="inlineStr">
        <is>
          <t>LISTED</t>
        </is>
      </c>
      <c r="Q48" s="2" t="n"/>
      <c r="R48" s="2" t="n"/>
      <c r="S48" s="2" t="n">
        <v>33.56674981686509</v>
      </c>
      <c r="T48" s="2" t="n">
        <v>-7.624748290753234</v>
      </c>
      <c r="U48" s="3" t="n">
        <v>11448</v>
      </c>
      <c r="V48" s="2" t="inlineStr"/>
      <c r="W48" s="6" t="inlineStr">
        <is>
          <t>https://yakeey.com/fr-ma/achat/biens/119373</t>
        </is>
      </c>
    </row>
    <row r="49">
      <c r="A49" t="inlineStr">
        <is>
          <t>119395</t>
        </is>
      </c>
      <c r="B49" t="inlineStr">
        <is>
          <t>APARTMENT</t>
        </is>
      </c>
      <c r="C49" t="inlineStr">
        <is>
          <t>Hopitaux</t>
        </is>
      </c>
      <c r="D49" t="inlineStr">
        <is>
          <t>Casablanca</t>
        </is>
      </c>
      <c r="E49" s="7" t="n">
        <v>2500000</v>
      </c>
      <c r="F49" s="8" t="n">
        <v>183</v>
      </c>
      <c r="G49" s="8" t="n"/>
      <c r="H49" s="8" t="n"/>
      <c r="I49" s="9">
        <f>IFERROR(E49/F49,"")</f>
        <v/>
      </c>
      <c r="J49" t="n">
        <v>3</v>
      </c>
      <c r="K49" t="n">
        <v>2</v>
      </c>
      <c r="P49" t="inlineStr">
        <is>
          <t>LISTED</t>
        </is>
      </c>
      <c r="S49" t="n">
        <v>33.573733337631</v>
      </c>
      <c r="T49" t="n">
        <v>-7.626115425433645</v>
      </c>
      <c r="U49" s="7" t="n">
        <v>14382</v>
      </c>
      <c r="V49" t="inlineStr"/>
      <c r="W49" s="10" t="inlineStr">
        <is>
          <t>https://yakeey.com/fr-ma/achat/biens/119395</t>
        </is>
      </c>
    </row>
    <row r="50">
      <c r="A50" s="2" t="inlineStr">
        <is>
          <t>119923</t>
        </is>
      </c>
      <c r="B50" s="2" t="inlineStr">
        <is>
          <t>APARTMENT</t>
        </is>
      </c>
      <c r="C50" s="2" t="inlineStr">
        <is>
          <t>Sidi Bernoussi</t>
        </is>
      </c>
      <c r="D50" s="2" t="inlineStr">
        <is>
          <t>Casablanca</t>
        </is>
      </c>
      <c r="E50" s="3" t="n">
        <v>820000</v>
      </c>
      <c r="F50" s="4" t="n">
        <v>104</v>
      </c>
      <c r="G50" s="4" t="n"/>
      <c r="H50" s="4" t="n"/>
      <c r="I50" s="5">
        <f>IFERROR(E50/F50,"")</f>
        <v/>
      </c>
      <c r="J50" s="2" t="n">
        <v>3</v>
      </c>
      <c r="K50" s="2" t="n">
        <v>1</v>
      </c>
      <c r="L50" s="2" t="n"/>
      <c r="M50" s="2" t="n"/>
      <c r="N50" s="2" t="n"/>
      <c r="O50" s="2" t="n"/>
      <c r="P50" s="2" t="inlineStr">
        <is>
          <t>LISTED</t>
        </is>
      </c>
      <c r="Q50" s="2" t="n"/>
      <c r="R50" s="2" t="n"/>
      <c r="S50" s="2" t="n">
        <v>33.62194982651619</v>
      </c>
      <c r="T50" s="2" t="n">
        <v>-7.485475492223643</v>
      </c>
      <c r="U50" s="3" t="n">
        <v>4717</v>
      </c>
      <c r="V50" s="2" t="inlineStr"/>
      <c r="W50" s="6" t="inlineStr">
        <is>
          <t>https://yakeey.com/fr-ma/achat/biens/119923</t>
        </is>
      </c>
    </row>
    <row r="51">
      <c r="A51" t="inlineStr">
        <is>
          <t>120050</t>
        </is>
      </c>
      <c r="B51" t="inlineStr">
        <is>
          <t>APARTMENT</t>
        </is>
      </c>
      <c r="C51" t="inlineStr">
        <is>
          <t>Fida</t>
        </is>
      </c>
      <c r="D51" t="inlineStr">
        <is>
          <t>Casablanca</t>
        </is>
      </c>
      <c r="E51" s="7" t="n">
        <v>580000</v>
      </c>
      <c r="F51" s="8" t="n">
        <v>59</v>
      </c>
      <c r="G51" s="8" t="n"/>
      <c r="H51" s="8" t="n"/>
      <c r="I51" s="9">
        <f>IFERROR(E51/F51,"")</f>
        <v/>
      </c>
      <c r="J51" t="n">
        <v>2</v>
      </c>
      <c r="K51" t="n">
        <v>1</v>
      </c>
      <c r="P51" t="inlineStr">
        <is>
          <t>LISTED</t>
        </is>
      </c>
      <c r="S51" t="n">
        <v>33.57155714663275</v>
      </c>
      <c r="T51" t="n">
        <v>-7.595870075736917</v>
      </c>
      <c r="U51" s="7" t="n">
        <v>3336</v>
      </c>
      <c r="V51" t="inlineStr"/>
      <c r="W51" s="10" t="inlineStr">
        <is>
          <t>https://yakeey.com/fr-ma/achat/biens/120050</t>
        </is>
      </c>
    </row>
    <row r="52">
      <c r="A52" s="2" t="inlineStr">
        <is>
          <t>120150</t>
        </is>
      </c>
      <c r="B52" s="2" t="inlineStr">
        <is>
          <t>APARTMENT</t>
        </is>
      </c>
      <c r="C52" s="2" t="inlineStr">
        <is>
          <t>Palmier (Maarif)</t>
        </is>
      </c>
      <c r="D52" s="2" t="inlineStr">
        <is>
          <t>Casablanca</t>
        </is>
      </c>
      <c r="E52" s="3" t="n">
        <v>3600000</v>
      </c>
      <c r="F52" s="4" t="n">
        <v>242</v>
      </c>
      <c r="G52" s="4" t="n"/>
      <c r="H52" s="4" t="n"/>
      <c r="I52" s="5">
        <f>IFERROR(E52/F52,"")</f>
        <v/>
      </c>
      <c r="J52" s="2" t="n">
        <v>3</v>
      </c>
      <c r="K52" s="2" t="n">
        <v>3</v>
      </c>
      <c r="L52" s="2" t="n"/>
      <c r="M52" s="2" t="n"/>
      <c r="N52" s="2" t="n"/>
      <c r="O52" s="2" t="n"/>
      <c r="P52" s="2" t="inlineStr">
        <is>
          <t>LISTED</t>
        </is>
      </c>
      <c r="Q52" s="2" t="n"/>
      <c r="R52" s="2" t="n"/>
      <c r="S52" s="2" t="n">
        <v>33.58154944523293</v>
      </c>
      <c r="T52" s="2" t="n">
        <v>-7.632351875031658</v>
      </c>
      <c r="U52" s="3" t="n">
        <v>20711</v>
      </c>
      <c r="V52" s="2" t="inlineStr"/>
      <c r="W52" s="6" t="inlineStr">
        <is>
          <t>https://yakeey.com/fr-ma/achat/biens/120150</t>
        </is>
      </c>
    </row>
    <row r="53">
      <c r="A53" t="inlineStr">
        <is>
          <t>120290</t>
        </is>
      </c>
      <c r="B53" t="inlineStr">
        <is>
          <t>APARTMENT</t>
        </is>
      </c>
      <c r="C53" t="inlineStr">
        <is>
          <t>Sidi Moumen</t>
        </is>
      </c>
      <c r="D53" t="inlineStr">
        <is>
          <t>Casablanca</t>
        </is>
      </c>
      <c r="E53" s="7" t="n">
        <v>700000</v>
      </c>
      <c r="F53" s="8" t="n">
        <v>90</v>
      </c>
      <c r="G53" s="8" t="n"/>
      <c r="H53" s="8" t="n"/>
      <c r="I53" s="9">
        <f>IFERROR(E53/F53,"")</f>
        <v/>
      </c>
      <c r="J53" t="n">
        <v>2</v>
      </c>
      <c r="K53" t="n">
        <v>1</v>
      </c>
      <c r="P53" t="inlineStr">
        <is>
          <t>LISTED</t>
        </is>
      </c>
      <c r="S53" t="n">
        <v>33.57620365058965</v>
      </c>
      <c r="T53" t="n">
        <v>-7.482768417686976</v>
      </c>
      <c r="U53" s="7" t="n">
        <v>4027</v>
      </c>
      <c r="V53" t="inlineStr"/>
      <c r="W53" s="10" t="inlineStr">
        <is>
          <t>https://yakeey.com/fr-ma/achat/biens/120290</t>
        </is>
      </c>
    </row>
    <row r="54">
      <c r="A54" s="2" t="inlineStr">
        <is>
          <t>120841</t>
        </is>
      </c>
      <c r="B54" s="2" t="inlineStr">
        <is>
          <t>APARTMENT</t>
        </is>
      </c>
      <c r="C54" s="2" t="inlineStr">
        <is>
          <t>Sidi Bernoussi</t>
        </is>
      </c>
      <c r="D54" s="2" t="inlineStr">
        <is>
          <t>Casablanca</t>
        </is>
      </c>
      <c r="E54" s="3" t="n">
        <v>800000</v>
      </c>
      <c r="F54" s="4" t="n">
        <v>87</v>
      </c>
      <c r="G54" s="4" t="n"/>
      <c r="H54" s="4" t="n"/>
      <c r="I54" s="5">
        <f>IFERROR(E54/F54,"")</f>
        <v/>
      </c>
      <c r="J54" s="2" t="n">
        <v>3</v>
      </c>
      <c r="K54" s="2" t="n">
        <v>1</v>
      </c>
      <c r="L54" s="2" t="n"/>
      <c r="M54" s="2" t="n"/>
      <c r="N54" s="2" t="n"/>
      <c r="O54" s="2" t="n"/>
      <c r="P54" s="2" t="inlineStr">
        <is>
          <t>LISTED</t>
        </is>
      </c>
      <c r="Q54" s="2" t="n"/>
      <c r="R54" s="2" t="n"/>
      <c r="S54" s="2" t="n">
        <v>33.61552247486443</v>
      </c>
      <c r="T54" s="2" t="n">
        <v>-7.503865912723215</v>
      </c>
      <c r="U54" s="3" t="n">
        <v>4602</v>
      </c>
      <c r="V54" s="2" t="inlineStr"/>
      <c r="W54" s="6" t="inlineStr">
        <is>
          <t>https://yakeey.com/fr-ma/achat/biens/120841</t>
        </is>
      </c>
    </row>
    <row r="55">
      <c r="A55" t="inlineStr">
        <is>
          <t>121254</t>
        </is>
      </c>
      <c r="B55" t="inlineStr">
        <is>
          <t>APARTMENT</t>
        </is>
      </c>
      <c r="C55" t="inlineStr">
        <is>
          <t>Les Princesses</t>
        </is>
      </c>
      <c r="D55" t="inlineStr">
        <is>
          <t>Casablanca</t>
        </is>
      </c>
      <c r="E55" s="7" t="n">
        <v>1500000</v>
      </c>
      <c r="F55" s="8" t="n">
        <v>104</v>
      </c>
      <c r="G55" s="8" t="n"/>
      <c r="H55" s="8" t="n"/>
      <c r="I55" s="9">
        <f>IFERROR(E55/F55,"")</f>
        <v/>
      </c>
      <c r="J55" t="n">
        <v>2</v>
      </c>
      <c r="K55" t="n">
        <v>1</v>
      </c>
      <c r="P55" t="inlineStr">
        <is>
          <t>LISTED</t>
        </is>
      </c>
      <c r="S55" t="n">
        <v>33.57699474757561</v>
      </c>
      <c r="T55" t="n">
        <v>-7.647192910572739</v>
      </c>
      <c r="U55" s="7" t="n">
        <v>8629</v>
      </c>
      <c r="V55" t="inlineStr"/>
      <c r="W55" s="10" t="inlineStr">
        <is>
          <t>https://yakeey.com/fr-ma/achat/biens/121254</t>
        </is>
      </c>
    </row>
    <row r="56">
      <c r="A56" s="2" t="inlineStr">
        <is>
          <t>121306</t>
        </is>
      </c>
      <c r="B56" s="2" t="inlineStr">
        <is>
          <t>APARTMENT</t>
        </is>
      </c>
      <c r="C56" s="2" t="inlineStr">
        <is>
          <t>Hopitaux</t>
        </is>
      </c>
      <c r="D56" s="2" t="inlineStr">
        <is>
          <t>Casablanca</t>
        </is>
      </c>
      <c r="E56" s="3" t="n">
        <v>1900000</v>
      </c>
      <c r="F56" s="4" t="n">
        <v>177</v>
      </c>
      <c r="G56" s="4" t="n"/>
      <c r="H56" s="4" t="n"/>
      <c r="I56" s="5">
        <f>IFERROR(E56/F56,"")</f>
        <v/>
      </c>
      <c r="J56" s="2" t="n">
        <v>3</v>
      </c>
      <c r="K56" s="2" t="n">
        <v>2</v>
      </c>
      <c r="L56" s="2" t="n"/>
      <c r="M56" s="2" t="n"/>
      <c r="N56" s="2" t="n"/>
      <c r="O56" s="2" t="n"/>
      <c r="P56" s="2" t="inlineStr">
        <is>
          <t>LISTED</t>
        </is>
      </c>
      <c r="Q56" s="2" t="n"/>
      <c r="R56" s="2" t="n"/>
      <c r="S56" s="2" t="n">
        <v>33.57336536615556</v>
      </c>
      <c r="T56" s="2" t="n">
        <v>-7.624288489606834</v>
      </c>
      <c r="U56" s="3" t="n">
        <v>10930</v>
      </c>
      <c r="V56" s="2" t="inlineStr"/>
      <c r="W56" s="6" t="inlineStr">
        <is>
          <t>https://yakeey.com/fr-ma/achat/biens/121306</t>
        </is>
      </c>
    </row>
    <row r="57">
      <c r="A57" t="inlineStr">
        <is>
          <t>121487</t>
        </is>
      </c>
      <c r="B57" t="inlineStr">
        <is>
          <t>APARTMENT</t>
        </is>
      </c>
      <c r="C57" t="inlineStr">
        <is>
          <t>Racine</t>
        </is>
      </c>
      <c r="D57" t="inlineStr">
        <is>
          <t>Casablanca</t>
        </is>
      </c>
      <c r="E57" s="7" t="n">
        <v>3000000</v>
      </c>
      <c r="F57" s="8" t="n">
        <v>192</v>
      </c>
      <c r="G57" s="8" t="n"/>
      <c r="H57" s="8" t="n"/>
      <c r="I57" s="9">
        <f>IFERROR(E57/F57,"")</f>
        <v/>
      </c>
      <c r="J57" t="n">
        <v>3</v>
      </c>
      <c r="K57" t="n">
        <v>2</v>
      </c>
      <c r="P57" t="inlineStr">
        <is>
          <t>LISTED</t>
        </is>
      </c>
      <c r="S57" t="n">
        <v>33.59031004803497</v>
      </c>
      <c r="T57" t="n">
        <v>-7.644047123862226</v>
      </c>
      <c r="U57" s="7" t="n">
        <v>17259</v>
      </c>
      <c r="V57" t="inlineStr"/>
      <c r="W57" s="10" t="inlineStr">
        <is>
          <t>https://yakeey.com/fr-ma/achat/biens/121487</t>
        </is>
      </c>
    </row>
    <row r="58">
      <c r="A58" s="2" t="inlineStr">
        <is>
          <t>122072</t>
        </is>
      </c>
      <c r="B58" s="2" t="inlineStr">
        <is>
          <t>APARTMENT</t>
        </is>
      </c>
      <c r="C58" s="2" t="inlineStr">
        <is>
          <t>Sidi Moumen</t>
        </is>
      </c>
      <c r="D58" s="2" t="inlineStr">
        <is>
          <t>Casablanca</t>
        </is>
      </c>
      <c r="E58" s="3" t="n">
        <v>510000</v>
      </c>
      <c r="F58" s="4" t="n">
        <v>67</v>
      </c>
      <c r="G58" s="4" t="n"/>
      <c r="H58" s="4" t="n"/>
      <c r="I58" s="5">
        <f>IFERROR(E58/F58,"")</f>
        <v/>
      </c>
      <c r="J58" s="2" t="n">
        <v>2</v>
      </c>
      <c r="K58" s="2" t="n">
        <v>1</v>
      </c>
      <c r="L58" s="2" t="n"/>
      <c r="M58" s="2" t="n"/>
      <c r="N58" s="2" t="n"/>
      <c r="O58" s="2" t="n"/>
      <c r="P58" s="2" t="inlineStr">
        <is>
          <t>LISTED</t>
        </is>
      </c>
      <c r="Q58" s="2" t="n"/>
      <c r="R58" s="2" t="n"/>
      <c r="S58" s="2" t="n">
        <v>33.58061052182447</v>
      </c>
      <c r="T58" s="2" t="n">
        <v>-7.535888478253002</v>
      </c>
      <c r="U58" s="3" t="n">
        <v>2934</v>
      </c>
      <c r="V58" s="2" t="inlineStr"/>
      <c r="W58" s="6" t="inlineStr">
        <is>
          <t>https://yakeey.com/fr-ma/achat/biens/122072</t>
        </is>
      </c>
    </row>
    <row r="59">
      <c r="A59" t="inlineStr">
        <is>
          <t>12269</t>
        </is>
      </c>
      <c r="B59" t="inlineStr">
        <is>
          <t>APARTMENT</t>
        </is>
      </c>
      <c r="C59" t="inlineStr">
        <is>
          <t>Racine</t>
        </is>
      </c>
      <c r="D59" t="inlineStr">
        <is>
          <t>Casablanca</t>
        </is>
      </c>
      <c r="E59" s="7" t="n">
        <v>3200000</v>
      </c>
      <c r="F59" s="8" t="n">
        <v>174</v>
      </c>
      <c r="G59" s="8" t="n"/>
      <c r="H59" s="8" t="n"/>
      <c r="I59" s="9">
        <f>IFERROR(E59/F59,"")</f>
        <v/>
      </c>
      <c r="J59" t="n">
        <v>3</v>
      </c>
      <c r="K59" t="n">
        <v>2</v>
      </c>
      <c r="P59" t="inlineStr">
        <is>
          <t>LISTED</t>
        </is>
      </c>
      <c r="S59" t="n">
        <v>33.59133331409957</v>
      </c>
      <c r="T59" t="n">
        <v>-7.639952304012715</v>
      </c>
      <c r="U59" s="7" t="n">
        <v>18409</v>
      </c>
      <c r="V59" t="inlineStr"/>
      <c r="W59" s="10" t="inlineStr">
        <is>
          <t>https://yakeey.com/fr-ma/achat/biens/12269</t>
        </is>
      </c>
    </row>
    <row r="60">
      <c r="A60" s="2" t="inlineStr">
        <is>
          <t>122952</t>
        </is>
      </c>
      <c r="B60" s="2" t="inlineStr">
        <is>
          <t>APARTMENT</t>
        </is>
      </c>
      <c r="C60" s="2" t="inlineStr">
        <is>
          <t>Roches Noires</t>
        </is>
      </c>
      <c r="D60" s="2" t="inlineStr">
        <is>
          <t>Casablanca</t>
        </is>
      </c>
      <c r="E60" s="3" t="n">
        <v>1650000</v>
      </c>
      <c r="F60" s="4" t="n">
        <v>183</v>
      </c>
      <c r="G60" s="4" t="n"/>
      <c r="H60" s="4" t="n"/>
      <c r="I60" s="5">
        <f>IFERROR(E60/F60,"")</f>
        <v/>
      </c>
      <c r="J60" s="2" t="n">
        <v>3</v>
      </c>
      <c r="K60" s="2" t="n">
        <v>3</v>
      </c>
      <c r="L60" s="2" t="n"/>
      <c r="M60" s="2" t="n"/>
      <c r="N60" s="2" t="n"/>
      <c r="O60" s="2" t="n"/>
      <c r="P60" s="2" t="inlineStr">
        <is>
          <t>LISTED</t>
        </is>
      </c>
      <c r="Q60" s="2" t="n"/>
      <c r="R60" s="2" t="n"/>
      <c r="S60" s="2" t="n">
        <v>33.59961842202475</v>
      </c>
      <c r="T60" s="2" t="n">
        <v>-7.584496943221907</v>
      </c>
      <c r="U60" s="3" t="n">
        <v>9492</v>
      </c>
      <c r="V60" s="2" t="inlineStr"/>
      <c r="W60" s="6" t="inlineStr">
        <is>
          <t>https://yakeey.com/fr-ma/achat/biens/122952</t>
        </is>
      </c>
    </row>
    <row r="61">
      <c r="A61" t="inlineStr">
        <is>
          <t>123162</t>
        </is>
      </c>
      <c r="B61" t="inlineStr">
        <is>
          <t>APARTMENT</t>
        </is>
      </c>
      <c r="C61" t="inlineStr">
        <is>
          <t>Belvedere (Roches Noires)</t>
        </is>
      </c>
      <c r="D61" t="inlineStr">
        <is>
          <t>Casablanca</t>
        </is>
      </c>
      <c r="E61" s="7" t="n">
        <v>850000</v>
      </c>
      <c r="F61" s="8" t="n">
        <v>76</v>
      </c>
      <c r="G61" s="8" t="n"/>
      <c r="H61" s="8" t="n"/>
      <c r="I61" s="9">
        <f>IFERROR(E61/F61,"")</f>
        <v/>
      </c>
      <c r="J61" t="n">
        <v>2</v>
      </c>
      <c r="K61" t="n">
        <v>1</v>
      </c>
      <c r="P61" t="inlineStr">
        <is>
          <t>LISTED</t>
        </is>
      </c>
      <c r="S61" t="n">
        <v>33.58991689724055</v>
      </c>
      <c r="T61" t="n">
        <v>-7.602973423466443</v>
      </c>
      <c r="U61" s="7" t="n">
        <v>4890</v>
      </c>
      <c r="V61" t="inlineStr"/>
      <c r="W61" s="10" t="inlineStr">
        <is>
          <t>https://yakeey.com/fr-ma/achat/biens/123162</t>
        </is>
      </c>
    </row>
    <row r="62">
      <c r="A62" s="2" t="inlineStr">
        <is>
          <t>123226</t>
        </is>
      </c>
      <c r="B62" s="2" t="inlineStr">
        <is>
          <t>APARTMENT</t>
        </is>
      </c>
      <c r="C62" s="2" t="inlineStr">
        <is>
          <t>Beausite</t>
        </is>
      </c>
      <c r="D62" s="2" t="inlineStr">
        <is>
          <t>Casablanca</t>
        </is>
      </c>
      <c r="E62" s="3" t="n">
        <v>550000</v>
      </c>
      <c r="F62" s="4" t="n">
        <v>53</v>
      </c>
      <c r="G62" s="4" t="n"/>
      <c r="H62" s="4" t="n"/>
      <c r="I62" s="5">
        <f>IFERROR(E62/F62,"")</f>
        <v/>
      </c>
      <c r="J62" s="2" t="n">
        <v>2</v>
      </c>
      <c r="K62" s="2" t="n">
        <v>1</v>
      </c>
      <c r="L62" s="2" t="n"/>
      <c r="M62" s="2" t="n"/>
      <c r="N62" s="2" t="n"/>
      <c r="O62" s="2" t="n"/>
      <c r="P62" s="2" t="inlineStr">
        <is>
          <t>LISTED</t>
        </is>
      </c>
      <c r="Q62" s="2" t="n"/>
      <c r="R62" s="2" t="n"/>
      <c r="S62" s="2" t="n">
        <v>33.60108126187689</v>
      </c>
      <c r="T62" s="2" t="n">
        <v>-7.535166959267257</v>
      </c>
      <c r="U62" s="3" t="n">
        <v>3164</v>
      </c>
      <c r="V62" s="2" t="inlineStr"/>
      <c r="W62" s="6" t="inlineStr">
        <is>
          <t>https://yakeey.com/fr-ma/achat/biens/123226</t>
        </is>
      </c>
    </row>
    <row r="63">
      <c r="A63" t="inlineStr">
        <is>
          <t>123279</t>
        </is>
      </c>
      <c r="B63" t="inlineStr">
        <is>
          <t>APARTMENT</t>
        </is>
      </c>
      <c r="C63" t="inlineStr">
        <is>
          <t>Oasis</t>
        </is>
      </c>
      <c r="D63" t="inlineStr">
        <is>
          <t>Casablanca</t>
        </is>
      </c>
      <c r="E63" s="7" t="n">
        <v>1900000</v>
      </c>
      <c r="F63" s="8" t="n">
        <v>98</v>
      </c>
      <c r="G63" s="8" t="n"/>
      <c r="H63" s="8" t="n"/>
      <c r="I63" s="9">
        <f>IFERROR(E63/F63,"")</f>
        <v/>
      </c>
      <c r="J63" t="n">
        <v>3</v>
      </c>
      <c r="K63" t="n">
        <v>1</v>
      </c>
      <c r="P63" t="inlineStr">
        <is>
          <t>LISTED</t>
        </is>
      </c>
      <c r="S63" t="n">
        <v>33.56719371365622</v>
      </c>
      <c r="T63" t="n">
        <v>-7.642233950649099</v>
      </c>
      <c r="U63" s="7" t="n">
        <v>10930</v>
      </c>
      <c r="V63" t="inlineStr"/>
      <c r="W63" s="10" t="inlineStr">
        <is>
          <t>https://yakeey.com/fr-ma/achat/biens/123279</t>
        </is>
      </c>
    </row>
    <row r="64">
      <c r="A64" s="2" t="inlineStr">
        <is>
          <t>123553</t>
        </is>
      </c>
      <c r="B64" s="2" t="inlineStr">
        <is>
          <t>APARTMENT</t>
        </is>
      </c>
      <c r="C64" s="2" t="inlineStr">
        <is>
          <t>Ain Sebaa</t>
        </is>
      </c>
      <c r="D64" s="2" t="inlineStr">
        <is>
          <t>Casablanca</t>
        </is>
      </c>
      <c r="E64" s="3" t="n">
        <v>1350000</v>
      </c>
      <c r="F64" s="4" t="n">
        <v>124</v>
      </c>
      <c r="G64" s="4" t="n"/>
      <c r="H64" s="4" t="n"/>
      <c r="I64" s="5">
        <f>IFERROR(E64/F64,"")</f>
        <v/>
      </c>
      <c r="J64" s="2" t="n">
        <v>3</v>
      </c>
      <c r="K64" s="2" t="n">
        <v>2</v>
      </c>
      <c r="L64" s="2" t="n"/>
      <c r="M64" s="2" t="n"/>
      <c r="N64" s="2" t="n"/>
      <c r="O64" s="2" t="n"/>
      <c r="P64" s="2" t="inlineStr">
        <is>
          <t>LISTED</t>
        </is>
      </c>
      <c r="Q64" s="2" t="n"/>
      <c r="R64" s="2" t="n"/>
      <c r="S64" s="2" t="n">
        <v>33.60879184873031</v>
      </c>
      <c r="T64" s="2" t="n">
        <v>-7.535992213588254</v>
      </c>
      <c r="U64" s="3" t="n">
        <v>7766</v>
      </c>
      <c r="V64" s="2" t="inlineStr"/>
      <c r="W64" s="6" t="inlineStr">
        <is>
          <t>https://yakeey.com/fr-ma/achat/biens/123553</t>
        </is>
      </c>
    </row>
    <row r="65">
      <c r="A65" t="inlineStr">
        <is>
          <t>123924</t>
        </is>
      </c>
      <c r="B65" t="inlineStr">
        <is>
          <t>APARTMENT</t>
        </is>
      </c>
      <c r="C65" t="inlineStr">
        <is>
          <t>Ain Sebaa</t>
        </is>
      </c>
      <c r="D65" t="inlineStr">
        <is>
          <t>Casablanca</t>
        </is>
      </c>
      <c r="E65" s="7" t="n">
        <v>1030000</v>
      </c>
      <c r="F65" s="8" t="n">
        <v>86</v>
      </c>
      <c r="G65" s="8" t="n"/>
      <c r="H65" s="8" t="n"/>
      <c r="I65" s="9">
        <f>IFERROR(E65/F65,"")</f>
        <v/>
      </c>
      <c r="J65" t="n">
        <v>3</v>
      </c>
      <c r="K65" t="n">
        <v>1</v>
      </c>
      <c r="P65" t="inlineStr">
        <is>
          <t>LISTED</t>
        </is>
      </c>
      <c r="S65" t="n">
        <v>33.61314345072165</v>
      </c>
      <c r="T65" t="n">
        <v>-7.530817794504339</v>
      </c>
      <c r="U65" s="7" t="n">
        <v>5925</v>
      </c>
      <c r="V65" t="inlineStr"/>
      <c r="W65" s="10" t="inlineStr">
        <is>
          <t>https://yakeey.com/fr-ma/achat/biens/123924</t>
        </is>
      </c>
    </row>
    <row r="66">
      <c r="A66" s="2" t="inlineStr">
        <is>
          <t>12394</t>
        </is>
      </c>
      <c r="B66" s="2" t="inlineStr">
        <is>
          <t>APARTMENT</t>
        </is>
      </c>
      <c r="C66" s="2" t="inlineStr">
        <is>
          <t>Ouled Ziane</t>
        </is>
      </c>
      <c r="D66" s="2" t="inlineStr">
        <is>
          <t>Casablanca</t>
        </is>
      </c>
      <c r="E66" s="3" t="n">
        <v>800000</v>
      </c>
      <c r="F66" s="4" t="n">
        <v>58</v>
      </c>
      <c r="G66" s="4" t="n"/>
      <c r="H66" s="4" t="n"/>
      <c r="I66" s="5">
        <f>IFERROR(E66/F66,"")</f>
        <v/>
      </c>
      <c r="J66" s="2" t="n">
        <v>2</v>
      </c>
      <c r="K66" s="2" t="n">
        <v>1</v>
      </c>
      <c r="L66" s="2" t="n"/>
      <c r="M66" s="2" t="n"/>
      <c r="N66" s="2" t="n"/>
      <c r="O66" s="2" t="n"/>
      <c r="P66" s="2" t="inlineStr">
        <is>
          <t>LISTED</t>
        </is>
      </c>
      <c r="Q66" s="2" t="n"/>
      <c r="R66" s="2" t="n"/>
      <c r="S66" s="2" t="n">
        <v>33.57343723715971</v>
      </c>
      <c r="T66" s="2" t="n">
        <v>-7.588724465306964</v>
      </c>
      <c r="U66" s="3" t="n">
        <v>4602</v>
      </c>
      <c r="V66" s="2" t="inlineStr"/>
      <c r="W66" s="6" t="inlineStr">
        <is>
          <t>https://yakeey.com/fr-ma/achat/biens/12394</t>
        </is>
      </c>
    </row>
    <row r="67">
      <c r="A67" t="inlineStr">
        <is>
          <t>12402</t>
        </is>
      </c>
      <c r="B67" t="inlineStr">
        <is>
          <t>APARTMENT</t>
        </is>
      </c>
      <c r="C67" t="inlineStr">
        <is>
          <t>Fadaat Al Mouhit</t>
        </is>
      </c>
      <c r="D67" t="inlineStr">
        <is>
          <t>Nouaceur</t>
        </is>
      </c>
      <c r="E67" s="7" t="n">
        <v>1400000</v>
      </c>
      <c r="F67" s="8" t="n">
        <v>128</v>
      </c>
      <c r="G67" s="8" t="n"/>
      <c r="H67" s="8" t="n"/>
      <c r="I67" s="9">
        <f>IFERROR(E67/F67,"")</f>
        <v/>
      </c>
      <c r="J67" t="n">
        <v>3</v>
      </c>
      <c r="K67" t="n">
        <v>2</v>
      </c>
      <c r="P67" t="inlineStr">
        <is>
          <t>LISTED</t>
        </is>
      </c>
      <c r="S67" t="n">
        <v>33.51796452830647</v>
      </c>
      <c r="T67" t="n">
        <v>-7.778716928361489</v>
      </c>
      <c r="U67" s="7" t="n">
        <v>8054</v>
      </c>
      <c r="V67" t="inlineStr"/>
      <c r="W67" s="10" t="inlineStr">
        <is>
          <t>https://yakeey.com/fr-ma/achat/biens/12402</t>
        </is>
      </c>
    </row>
    <row r="68">
      <c r="A68" s="2" t="inlineStr">
        <is>
          <t>124404</t>
        </is>
      </c>
      <c r="B68" s="2" t="inlineStr">
        <is>
          <t>APARTMENT</t>
        </is>
      </c>
      <c r="C68" s="2" t="inlineStr">
        <is>
          <t>Les Princesses</t>
        </is>
      </c>
      <c r="D68" s="2" t="inlineStr">
        <is>
          <t>Casablanca</t>
        </is>
      </c>
      <c r="E68" s="3" t="n">
        <v>2480000</v>
      </c>
      <c r="F68" s="4" t="n">
        <v>167</v>
      </c>
      <c r="G68" s="4" t="n"/>
      <c r="H68" s="4" t="n"/>
      <c r="I68" s="5">
        <f>IFERROR(E68/F68,"")</f>
        <v/>
      </c>
      <c r="J68" s="2" t="n">
        <v>2</v>
      </c>
      <c r="K68" s="2" t="n">
        <v>2</v>
      </c>
      <c r="L68" s="2" t="n"/>
      <c r="M68" s="2" t="n"/>
      <c r="N68" s="2" t="n"/>
      <c r="O68" s="2" t="n"/>
      <c r="P68" s="2" t="inlineStr">
        <is>
          <t>LISTED</t>
        </is>
      </c>
      <c r="Q68" s="2" t="n"/>
      <c r="R68" s="2" t="n"/>
      <c r="S68" s="2" t="n">
        <v>33.57760133986251</v>
      </c>
      <c r="T68" s="2" t="n">
        <v>-7.647284107398443</v>
      </c>
      <c r="U68" s="3" t="n">
        <v>14267</v>
      </c>
      <c r="V68" s="2" t="inlineStr"/>
      <c r="W68" s="6" t="inlineStr">
        <is>
          <t>https://yakeey.com/fr-ma/achat/biens/124404</t>
        </is>
      </c>
    </row>
    <row r="69">
      <c r="A69" t="inlineStr">
        <is>
          <t>124774</t>
        </is>
      </c>
      <c r="B69" t="inlineStr">
        <is>
          <t>APARTMENT</t>
        </is>
      </c>
      <c r="C69" t="inlineStr">
        <is>
          <t>Lissasfa</t>
        </is>
      </c>
      <c r="D69" t="inlineStr">
        <is>
          <t>Casablanca</t>
        </is>
      </c>
      <c r="E69" s="7" t="n">
        <v>540000</v>
      </c>
      <c r="F69" s="8" t="n">
        <v>56</v>
      </c>
      <c r="G69" s="8" t="n"/>
      <c r="H69" s="8" t="n"/>
      <c r="I69" s="9">
        <f>IFERROR(E69/F69,"")</f>
        <v/>
      </c>
      <c r="J69" t="n">
        <v>2</v>
      </c>
      <c r="K69" t="n">
        <v>1</v>
      </c>
      <c r="P69" t="inlineStr">
        <is>
          <t>LISTED</t>
        </is>
      </c>
      <c r="S69" t="n">
        <v>33.54051315805427</v>
      </c>
      <c r="T69" t="n">
        <v>-7.670085216707326</v>
      </c>
      <c r="U69" s="7" t="n">
        <v>3106</v>
      </c>
      <c r="V69" t="inlineStr"/>
      <c r="W69" s="10" t="inlineStr">
        <is>
          <t>https://yakeey.com/fr-ma/achat/biens/124774</t>
        </is>
      </c>
    </row>
    <row r="70">
      <c r="A70" s="2" t="inlineStr">
        <is>
          <t>125292</t>
        </is>
      </c>
      <c r="B70" s="2" t="inlineStr">
        <is>
          <t>APARTMENT</t>
        </is>
      </c>
      <c r="C70" s="2" t="inlineStr">
        <is>
          <t>Maarif Extension</t>
        </is>
      </c>
      <c r="D70" s="2" t="inlineStr">
        <is>
          <t>Casablanca</t>
        </is>
      </c>
      <c r="E70" s="3" t="n">
        <v>3000000</v>
      </c>
      <c r="F70" s="4" t="n">
        <v>175</v>
      </c>
      <c r="G70" s="4" t="n"/>
      <c r="H70" s="4" t="n"/>
      <c r="I70" s="5">
        <f>IFERROR(E70/F70,"")</f>
        <v/>
      </c>
      <c r="J70" s="2" t="n">
        <v>3</v>
      </c>
      <c r="K70" s="2" t="n">
        <v>2</v>
      </c>
      <c r="L70" s="2" t="n"/>
      <c r="M70" s="2" t="n"/>
      <c r="N70" s="2" t="n"/>
      <c r="O70" s="2" t="n"/>
      <c r="P70" s="2" t="inlineStr">
        <is>
          <t>LISTED</t>
        </is>
      </c>
      <c r="Q70" s="2" t="n"/>
      <c r="R70" s="2" t="n"/>
      <c r="S70" s="2" t="n">
        <v>33.57911974477474</v>
      </c>
      <c r="T70" s="2" t="n">
        <v>-7.640920993151075</v>
      </c>
      <c r="U70" s="3" t="n">
        <v>17259</v>
      </c>
      <c r="V70" s="2" t="inlineStr"/>
      <c r="W70" s="6" t="inlineStr">
        <is>
          <t>https://yakeey.com/fr-ma/achat/biens/125292</t>
        </is>
      </c>
    </row>
    <row r="71">
      <c r="A71" t="inlineStr">
        <is>
          <t>125392</t>
        </is>
      </c>
      <c r="B71" t="inlineStr">
        <is>
          <t>APARTMENT</t>
        </is>
      </c>
      <c r="C71" t="inlineStr">
        <is>
          <t>La Gironde</t>
        </is>
      </c>
      <c r="D71" t="inlineStr">
        <is>
          <t>Casablanca</t>
        </is>
      </c>
      <c r="E71" s="7" t="n">
        <v>2350000</v>
      </c>
      <c r="F71" s="8" t="n">
        <v>199</v>
      </c>
      <c r="G71" s="8" t="n"/>
      <c r="H71" s="8" t="n"/>
      <c r="I71" s="9">
        <f>IFERROR(E71/F71,"")</f>
        <v/>
      </c>
      <c r="J71" t="n">
        <v>4</v>
      </c>
      <c r="K71" t="n">
        <v>2</v>
      </c>
      <c r="P71" t="inlineStr">
        <is>
          <t>LISTED</t>
        </is>
      </c>
      <c r="S71" t="n">
        <v>33.58983630306673</v>
      </c>
      <c r="T71" t="n">
        <v>-7.603588739987876</v>
      </c>
      <c r="U71" s="7" t="n">
        <v>13519</v>
      </c>
      <c r="V71" t="inlineStr"/>
      <c r="W71" s="10" t="inlineStr">
        <is>
          <t>https://yakeey.com/fr-ma/achat/biens/125392</t>
        </is>
      </c>
    </row>
    <row r="72">
      <c r="A72" s="2" t="inlineStr">
        <is>
          <t>125396</t>
        </is>
      </c>
      <c r="B72" s="2" t="inlineStr">
        <is>
          <t>APARTMENT</t>
        </is>
      </c>
      <c r="C72" s="2" t="inlineStr">
        <is>
          <t>Hopitaux</t>
        </is>
      </c>
      <c r="D72" s="2" t="inlineStr">
        <is>
          <t>Casablanca</t>
        </is>
      </c>
      <c r="E72" s="3" t="n">
        <v>2000000</v>
      </c>
      <c r="F72" s="4" t="n">
        <v>143</v>
      </c>
      <c r="G72" s="4" t="n"/>
      <c r="H72" s="4" t="n"/>
      <c r="I72" s="5">
        <f>IFERROR(E72/F72,"")</f>
        <v/>
      </c>
      <c r="J72" s="2" t="n">
        <v>3</v>
      </c>
      <c r="K72" s="2" t="n">
        <v>2</v>
      </c>
      <c r="L72" s="2" t="n"/>
      <c r="M72" s="2" t="n"/>
      <c r="N72" s="2" t="n"/>
      <c r="O72" s="2" t="n"/>
      <c r="P72" s="2" t="inlineStr">
        <is>
          <t>LISTED</t>
        </is>
      </c>
      <c r="Q72" s="2" t="n"/>
      <c r="R72" s="2" t="n"/>
      <c r="S72" s="2" t="n">
        <v>33.56632300968741</v>
      </c>
      <c r="T72" s="2" t="n">
        <v>-7.624878120213472</v>
      </c>
      <c r="U72" s="3" t="n">
        <v>11506</v>
      </c>
      <c r="V72" s="2" t="inlineStr"/>
      <c r="W72" s="6" t="inlineStr">
        <is>
          <t>https://yakeey.com/fr-ma/achat/biens/125396</t>
        </is>
      </c>
    </row>
    <row r="73">
      <c r="A73" t="inlineStr">
        <is>
          <t>125903</t>
        </is>
      </c>
      <c r="B73" t="inlineStr">
        <is>
          <t>APARTMENT</t>
        </is>
      </c>
      <c r="C73" t="inlineStr">
        <is>
          <t>Bourgogne (Sidi Belyout)</t>
        </is>
      </c>
      <c r="D73" t="inlineStr">
        <is>
          <t>Casablanca</t>
        </is>
      </c>
      <c r="E73" s="7" t="n">
        <v>1198000</v>
      </c>
      <c r="F73" s="8" t="n">
        <v>73</v>
      </c>
      <c r="G73" s="8" t="n"/>
      <c r="H73" s="8" t="n"/>
      <c r="I73" s="9">
        <f>IFERROR(E73/F73,"")</f>
        <v/>
      </c>
      <c r="J73" t="n">
        <v>2</v>
      </c>
      <c r="K73" t="n">
        <v>2</v>
      </c>
      <c r="P73" t="inlineStr">
        <is>
          <t>SOLD_OUT</t>
        </is>
      </c>
      <c r="S73" t="n">
        <v>33.5958615044654</v>
      </c>
      <c r="T73" t="n">
        <v>-7.636823791087119</v>
      </c>
      <c r="U73" s="7" t="n">
        <v>6892</v>
      </c>
      <c r="V73" t="inlineStr"/>
      <c r="W73" s="10" t="inlineStr">
        <is>
          <t>https://yakeey.com/fr-ma/achat/biens/125903</t>
        </is>
      </c>
    </row>
    <row r="74">
      <c r="A74" s="2" t="inlineStr">
        <is>
          <t>12598</t>
        </is>
      </c>
      <c r="B74" s="2" t="inlineStr">
        <is>
          <t>APARTMENT</t>
        </is>
      </c>
      <c r="C74" s="2" t="inlineStr">
        <is>
          <t>Tamaris2</t>
        </is>
      </c>
      <c r="D74" s="2" t="inlineStr">
        <is>
          <t>Dar Bouazza</t>
        </is>
      </c>
      <c r="E74" s="3" t="n">
        <v>1850000</v>
      </c>
      <c r="F74" s="4" t="n">
        <v>120</v>
      </c>
      <c r="G74" s="4" t="n"/>
      <c r="H74" s="4" t="n"/>
      <c r="I74" s="5">
        <f>IFERROR(E74/F74,"")</f>
        <v/>
      </c>
      <c r="J74" s="2" t="n">
        <v>2</v>
      </c>
      <c r="K74" s="2" t="n">
        <v>1</v>
      </c>
      <c r="L74" s="2" t="n"/>
      <c r="M74" s="2" t="n"/>
      <c r="N74" s="2" t="n"/>
      <c r="O74" s="2" t="n"/>
      <c r="P74" s="2" t="inlineStr">
        <is>
          <t>LISTED</t>
        </is>
      </c>
      <c r="Q74" s="2" t="n"/>
      <c r="R74" s="2" t="n"/>
      <c r="S74" s="2" t="n">
        <v>33.52419712278842</v>
      </c>
      <c r="T74" s="2" t="n">
        <v>-7.825378913641133</v>
      </c>
      <c r="U74" s="3" t="n">
        <v>10643</v>
      </c>
      <c r="V74" s="2" t="inlineStr"/>
      <c r="W74" s="6" t="inlineStr">
        <is>
          <t>https://yakeey.com/fr-ma/achat/biens/12598</t>
        </is>
      </c>
    </row>
    <row r="75">
      <c r="A75" t="inlineStr">
        <is>
          <t>125982</t>
        </is>
      </c>
      <c r="B75" t="inlineStr">
        <is>
          <t>APARTMENT</t>
        </is>
      </c>
      <c r="C75" t="inlineStr">
        <is>
          <t>Racine</t>
        </is>
      </c>
      <c r="D75" t="inlineStr">
        <is>
          <t>Casablanca</t>
        </is>
      </c>
      <c r="E75" s="7" t="n">
        <v>4500000</v>
      </c>
      <c r="F75" s="8" t="n">
        <v>250</v>
      </c>
      <c r="G75" s="8" t="n"/>
      <c r="H75" s="8" t="n"/>
      <c r="I75" s="9">
        <f>IFERROR(E75/F75,"")</f>
        <v/>
      </c>
      <c r="J75" t="n">
        <v>3</v>
      </c>
      <c r="K75" t="n">
        <v>2</v>
      </c>
      <c r="P75" t="inlineStr">
        <is>
          <t>LISTED</t>
        </is>
      </c>
      <c r="S75" t="n">
        <v>33.58720865087127</v>
      </c>
      <c r="T75" t="n">
        <v>-7.643296289010904</v>
      </c>
      <c r="U75" s="7" t="n">
        <v>25888</v>
      </c>
      <c r="V75" t="inlineStr"/>
      <c r="W75" s="10" t="inlineStr">
        <is>
          <t>https://yakeey.com/fr-ma/achat/biens/125982</t>
        </is>
      </c>
    </row>
    <row r="76">
      <c r="A76" s="2" t="inlineStr">
        <is>
          <t>126226</t>
        </is>
      </c>
      <c r="B76" s="2" t="inlineStr">
        <is>
          <t>APARTMENT</t>
        </is>
      </c>
      <c r="C76" s="2" t="inlineStr">
        <is>
          <t>Maarif Extension</t>
        </is>
      </c>
      <c r="D76" s="2" t="inlineStr">
        <is>
          <t>Casablanca</t>
        </is>
      </c>
      <c r="E76" s="3" t="n">
        <v>1850000</v>
      </c>
      <c r="F76" s="4" t="n">
        <v>123</v>
      </c>
      <c r="G76" s="4" t="n"/>
      <c r="H76" s="4" t="n"/>
      <c r="I76" s="5">
        <f>IFERROR(E76/F76,"")</f>
        <v/>
      </c>
      <c r="J76" s="2" t="n">
        <v>3</v>
      </c>
      <c r="K76" s="2" t="n">
        <v>2</v>
      </c>
      <c r="L76" s="2" t="n"/>
      <c r="M76" s="2" t="n"/>
      <c r="N76" s="2" t="n"/>
      <c r="O76" s="2" t="n"/>
      <c r="P76" s="2" t="inlineStr">
        <is>
          <t>LISTED</t>
        </is>
      </c>
      <c r="Q76" s="2" t="n"/>
      <c r="R76" s="2" t="n"/>
      <c r="S76" s="2" t="n">
        <v>33.57214645583222</v>
      </c>
      <c r="T76" s="2" t="n">
        <v>-7.626337097063067</v>
      </c>
      <c r="U76" s="3" t="n">
        <v>10643</v>
      </c>
      <c r="V76" s="2" t="inlineStr"/>
      <c r="W76" s="6" t="inlineStr">
        <is>
          <t>https://yakeey.com/fr-ma/achat/biens/126226</t>
        </is>
      </c>
    </row>
    <row r="77">
      <c r="A77" t="inlineStr">
        <is>
          <t>126375</t>
        </is>
      </c>
      <c r="B77" t="inlineStr">
        <is>
          <t>APARTMENT</t>
        </is>
      </c>
      <c r="C77" t="inlineStr">
        <is>
          <t>Nassim</t>
        </is>
      </c>
      <c r="D77" t="inlineStr">
        <is>
          <t>Casablanca</t>
        </is>
      </c>
      <c r="E77" s="7" t="n">
        <v>670000</v>
      </c>
      <c r="F77" s="8" t="n">
        <v>88</v>
      </c>
      <c r="G77" s="8" t="n"/>
      <c r="H77" s="8" t="n"/>
      <c r="I77" s="9">
        <f>IFERROR(E77/F77,"")</f>
        <v/>
      </c>
      <c r="J77" t="n">
        <v>2</v>
      </c>
      <c r="K77" t="n">
        <v>1</v>
      </c>
      <c r="P77" t="inlineStr">
        <is>
          <t>LISTED</t>
        </is>
      </c>
      <c r="S77" t="n">
        <v>33.51614444512685</v>
      </c>
      <c r="T77" t="n">
        <v>-7.66893507547011</v>
      </c>
      <c r="U77" s="7" t="n">
        <v>3854</v>
      </c>
      <c r="V77" t="inlineStr"/>
      <c r="W77" s="10" t="inlineStr">
        <is>
          <t>https://yakeey.com/fr-ma/achat/biens/126375</t>
        </is>
      </c>
    </row>
    <row r="78">
      <c r="A78" s="2" t="inlineStr">
        <is>
          <t>126411</t>
        </is>
      </c>
      <c r="B78" s="2" t="inlineStr">
        <is>
          <t>APARTMENT</t>
        </is>
      </c>
      <c r="C78" s="2" t="inlineStr">
        <is>
          <t>Triangle D'Or</t>
        </is>
      </c>
      <c r="D78" s="2" t="inlineStr">
        <is>
          <t>Casablanca</t>
        </is>
      </c>
      <c r="E78" s="3" t="n">
        <v>3990000</v>
      </c>
      <c r="F78" s="4" t="n">
        <v>189</v>
      </c>
      <c r="G78" s="4" t="n"/>
      <c r="H78" s="4" t="n"/>
      <c r="I78" s="5">
        <f>IFERROR(E78/F78,"")</f>
        <v/>
      </c>
      <c r="J78" s="2" t="n">
        <v>3</v>
      </c>
      <c r="K78" s="2" t="n">
        <v>2</v>
      </c>
      <c r="L78" s="2" t="n"/>
      <c r="M78" s="2" t="n"/>
      <c r="N78" s="2" t="n"/>
      <c r="O78" s="2" t="n"/>
      <c r="P78" s="2" t="inlineStr">
        <is>
          <t>LISTED</t>
        </is>
      </c>
      <c r="Q78" s="2" t="n"/>
      <c r="R78" s="2" t="n"/>
      <c r="S78" s="2" t="n">
        <v>33.58959321148492</v>
      </c>
      <c r="T78" s="2" t="n">
        <v>-7.643927035914045</v>
      </c>
      <c r="U78" s="3" t="n">
        <v>22954</v>
      </c>
      <c r="V78" s="2" t="inlineStr"/>
      <c r="W78" s="6" t="inlineStr">
        <is>
          <t>https://yakeey.com/fr-ma/achat/biens/126411</t>
        </is>
      </c>
    </row>
    <row r="79">
      <c r="A79" t="inlineStr">
        <is>
          <t>126446</t>
        </is>
      </c>
      <c r="B79" t="inlineStr">
        <is>
          <t>APARTMENT</t>
        </is>
      </c>
      <c r="C79" t="inlineStr">
        <is>
          <t>Racine</t>
        </is>
      </c>
      <c r="D79" t="inlineStr">
        <is>
          <t>Casablanca</t>
        </is>
      </c>
      <c r="E79" s="7" t="n">
        <v>3350000</v>
      </c>
      <c r="F79" s="8" t="n">
        <v>252</v>
      </c>
      <c r="G79" s="8" t="n"/>
      <c r="H79" s="8" t="n"/>
      <c r="I79" s="9">
        <f>IFERROR(E79/F79,"")</f>
        <v/>
      </c>
      <c r="J79" t="n">
        <v>3</v>
      </c>
      <c r="K79" t="n">
        <v>2</v>
      </c>
      <c r="P79" t="inlineStr">
        <is>
          <t>LISTED</t>
        </is>
      </c>
      <c r="S79" t="n">
        <v>33.58781484504904</v>
      </c>
      <c r="T79" t="n">
        <v>-7.63470639886294</v>
      </c>
      <c r="U79" s="7" t="n">
        <v>19272</v>
      </c>
      <c r="V79" t="inlineStr"/>
      <c r="W79" s="10" t="inlineStr">
        <is>
          <t>https://yakeey.com/fr-ma/achat/biens/126446</t>
        </is>
      </c>
    </row>
    <row r="80">
      <c r="A80" s="2" t="inlineStr">
        <is>
          <t>126613</t>
        </is>
      </c>
      <c r="B80" s="2" t="inlineStr">
        <is>
          <t>APARTMENT</t>
        </is>
      </c>
      <c r="C80" s="2" t="inlineStr">
        <is>
          <t>Racine</t>
        </is>
      </c>
      <c r="D80" s="2" t="inlineStr">
        <is>
          <t>Casablanca</t>
        </is>
      </c>
      <c r="E80" s="3" t="n">
        <v>2500000</v>
      </c>
      <c r="F80" s="4" t="n">
        <v>137</v>
      </c>
      <c r="G80" s="4" t="n"/>
      <c r="H80" s="4" t="n"/>
      <c r="I80" s="5">
        <f>IFERROR(E80/F80,"")</f>
        <v/>
      </c>
      <c r="J80" s="2" t="n">
        <v>3</v>
      </c>
      <c r="K80" s="2" t="n">
        <v>2</v>
      </c>
      <c r="L80" s="2" t="n"/>
      <c r="M80" s="2" t="n"/>
      <c r="N80" s="2" t="n"/>
      <c r="O80" s="2" t="n"/>
      <c r="P80" s="2" t="inlineStr">
        <is>
          <t>LISTED</t>
        </is>
      </c>
      <c r="Q80" s="2" t="n"/>
      <c r="R80" s="2" t="n"/>
      <c r="S80" s="2" t="n">
        <v>33.59355075233579</v>
      </c>
      <c r="T80" s="2" t="n">
        <v>-7.651858995809875</v>
      </c>
      <c r="U80" s="3" t="n">
        <v>14382</v>
      </c>
      <c r="V80" s="2" t="inlineStr"/>
      <c r="W80" s="6" t="inlineStr">
        <is>
          <t>https://yakeey.com/fr-ma/achat/biens/126613</t>
        </is>
      </c>
    </row>
    <row r="81">
      <c r="A81" t="inlineStr">
        <is>
          <t>126655</t>
        </is>
      </c>
      <c r="B81" t="inlineStr">
        <is>
          <t>APARTMENT</t>
        </is>
      </c>
      <c r="C81" t="inlineStr">
        <is>
          <t>Gauthier</t>
        </is>
      </c>
      <c r="D81" t="inlineStr">
        <is>
          <t>Casablanca</t>
        </is>
      </c>
      <c r="E81" s="7" t="n">
        <v>2600000</v>
      </c>
      <c r="F81" s="8" t="n">
        <v>156</v>
      </c>
      <c r="G81" s="8" t="n"/>
      <c r="H81" s="8" t="n"/>
      <c r="I81" s="9">
        <f>IFERROR(E81/F81,"")</f>
        <v/>
      </c>
      <c r="J81" t="n">
        <v>3</v>
      </c>
      <c r="K81" t="n">
        <v>3</v>
      </c>
      <c r="P81" t="inlineStr">
        <is>
          <t>LISTED</t>
        </is>
      </c>
      <c r="S81" t="n">
        <v>33.58991713863405</v>
      </c>
      <c r="T81" t="n">
        <v>-7.631751600466188</v>
      </c>
      <c r="U81" s="7" t="n">
        <v>14957</v>
      </c>
      <c r="V81" t="inlineStr"/>
      <c r="W81" s="10" t="inlineStr">
        <is>
          <t>https://yakeey.com/fr-ma/achat/biens/126655</t>
        </is>
      </c>
    </row>
    <row r="82">
      <c r="A82" s="2" t="inlineStr">
        <is>
          <t>126825</t>
        </is>
      </c>
      <c r="B82" s="2" t="inlineStr">
        <is>
          <t>APARTMENT</t>
        </is>
      </c>
      <c r="C82" s="2" t="inlineStr">
        <is>
          <t>Beausejour</t>
        </is>
      </c>
      <c r="D82" s="2" t="inlineStr">
        <is>
          <t>Casablanca</t>
        </is>
      </c>
      <c r="E82" s="3" t="n">
        <v>1500000</v>
      </c>
      <c r="F82" s="4" t="n">
        <v>126</v>
      </c>
      <c r="G82" s="4" t="n"/>
      <c r="H82" s="4" t="n"/>
      <c r="I82" s="5">
        <f>IFERROR(E82/F82,"")</f>
        <v/>
      </c>
      <c r="J82" s="2" t="n">
        <v>3</v>
      </c>
      <c r="K82" s="2" t="n">
        <v>2</v>
      </c>
      <c r="L82" s="2" t="n"/>
      <c r="M82" s="2" t="n"/>
      <c r="N82" s="2" t="n"/>
      <c r="O82" s="2" t="n"/>
      <c r="P82" s="2" t="inlineStr">
        <is>
          <t>LISTED</t>
        </is>
      </c>
      <c r="Q82" s="2" t="n"/>
      <c r="R82" s="2" t="n"/>
      <c r="S82" s="2" t="n">
        <v>33.56892664348163</v>
      </c>
      <c r="T82" s="2" t="n">
        <v>-7.653175336908181</v>
      </c>
      <c r="U82" s="3" t="n">
        <v>8629</v>
      </c>
      <c r="V82" s="2" t="inlineStr"/>
      <c r="W82" s="6" t="inlineStr">
        <is>
          <t>https://yakeey.com/fr-ma/achat/biens/126825</t>
        </is>
      </c>
    </row>
    <row r="83">
      <c r="A83" t="inlineStr">
        <is>
          <t>126908</t>
        </is>
      </c>
      <c r="B83" t="inlineStr">
        <is>
          <t>APARTMENT</t>
        </is>
      </c>
      <c r="C83" t="inlineStr">
        <is>
          <t>Ibn Tachfine</t>
        </is>
      </c>
      <c r="D83" t="inlineStr">
        <is>
          <t>Casablanca</t>
        </is>
      </c>
      <c r="E83" s="7" t="n">
        <v>1600000</v>
      </c>
      <c r="F83" s="8" t="n">
        <v>131</v>
      </c>
      <c r="G83" s="8" t="n"/>
      <c r="H83" s="8" t="n"/>
      <c r="I83" s="9">
        <f>IFERROR(E83/F83,"")</f>
        <v/>
      </c>
      <c r="J83" t="n">
        <v>3</v>
      </c>
      <c r="K83" t="n">
        <v>2</v>
      </c>
      <c r="P83" t="inlineStr">
        <is>
          <t>LISTED</t>
        </is>
      </c>
      <c r="S83" t="n">
        <v>33.58442571888649</v>
      </c>
      <c r="T83" t="n">
        <v>-7.595063622930127</v>
      </c>
      <c r="U83" s="7" t="n">
        <v>9204</v>
      </c>
      <c r="V83" t="inlineStr"/>
      <c r="W83" s="10" t="inlineStr">
        <is>
          <t>https://yakeey.com/fr-ma/achat/biens/126908</t>
        </is>
      </c>
    </row>
    <row r="84">
      <c r="A84" s="2" t="inlineStr">
        <is>
          <t>126929</t>
        </is>
      </c>
      <c r="B84" s="2" t="inlineStr">
        <is>
          <t>APARTMENT</t>
        </is>
      </c>
      <c r="C84" s="2" t="inlineStr">
        <is>
          <t>Gauthier</t>
        </is>
      </c>
      <c r="D84" s="2" t="inlineStr">
        <is>
          <t>Casablanca</t>
        </is>
      </c>
      <c r="E84" s="3" t="n">
        <v>4800000</v>
      </c>
      <c r="F84" s="4" t="n">
        <v>322</v>
      </c>
      <c r="G84" s="4" t="n"/>
      <c r="H84" s="4" t="n"/>
      <c r="I84" s="5">
        <f>IFERROR(E84/F84,"")</f>
        <v/>
      </c>
      <c r="J84" s="2" t="n">
        <v>4</v>
      </c>
      <c r="K84" s="2" t="n">
        <v>2</v>
      </c>
      <c r="L84" s="2" t="n"/>
      <c r="M84" s="2" t="n"/>
      <c r="N84" s="2" t="n"/>
      <c r="O84" s="2" t="n"/>
      <c r="P84" s="2" t="inlineStr">
        <is>
          <t>LISTED</t>
        </is>
      </c>
      <c r="Q84" s="2" t="n"/>
      <c r="R84" s="2" t="n"/>
      <c r="S84" s="2" t="n">
        <v>33.59068884485634</v>
      </c>
      <c r="T84" s="2" t="n">
        <v>-7.629096021351539</v>
      </c>
      <c r="U84" s="3" t="n">
        <v>27614</v>
      </c>
      <c r="V84" s="2" t="inlineStr"/>
      <c r="W84" s="6" t="inlineStr">
        <is>
          <t>https://yakeey.com/fr-ma/achat/biens/126929</t>
        </is>
      </c>
    </row>
    <row r="85">
      <c r="A85" t="inlineStr">
        <is>
          <t>127061</t>
        </is>
      </c>
      <c r="B85" t="inlineStr">
        <is>
          <t>APARTMENT</t>
        </is>
      </c>
      <c r="C85" t="inlineStr">
        <is>
          <t>Maarif Extension</t>
        </is>
      </c>
      <c r="D85" t="inlineStr">
        <is>
          <t>Casablanca</t>
        </is>
      </c>
      <c r="E85" s="7" t="n">
        <v>1980000</v>
      </c>
      <c r="F85" s="8" t="n">
        <v>132</v>
      </c>
      <c r="G85" s="8" t="n"/>
      <c r="H85" s="8" t="n"/>
      <c r="I85" s="9">
        <f>IFERROR(E85/F85,"")</f>
        <v/>
      </c>
      <c r="J85" t="n">
        <v>3</v>
      </c>
      <c r="K85" t="n">
        <v>2</v>
      </c>
      <c r="P85" t="inlineStr">
        <is>
          <t>LISTED</t>
        </is>
      </c>
      <c r="S85" t="n">
        <v>33.57830085822314</v>
      </c>
      <c r="T85" t="n">
        <v>-7.646837368478553</v>
      </c>
      <c r="U85" s="7" t="n">
        <v>11391</v>
      </c>
      <c r="V85" t="inlineStr"/>
      <c r="W85" s="10" t="inlineStr">
        <is>
          <t>https://yakeey.com/fr-ma/achat/biens/127061</t>
        </is>
      </c>
    </row>
    <row r="86">
      <c r="A86" s="2" t="inlineStr">
        <is>
          <t>127226</t>
        </is>
      </c>
      <c r="B86" s="2" t="inlineStr">
        <is>
          <t>APARTMENT</t>
        </is>
      </c>
      <c r="C86" s="2" t="inlineStr">
        <is>
          <t>Oulfa</t>
        </is>
      </c>
      <c r="D86" s="2" t="inlineStr">
        <is>
          <t>Casablanca</t>
        </is>
      </c>
      <c r="E86" s="3" t="n">
        <v>880000</v>
      </c>
      <c r="F86" s="4" t="n">
        <v>86</v>
      </c>
      <c r="G86" s="4" t="n"/>
      <c r="H86" s="4" t="n"/>
      <c r="I86" s="5">
        <f>IFERROR(E86/F86,"")</f>
        <v/>
      </c>
      <c r="J86" s="2" t="n">
        <v>2</v>
      </c>
      <c r="K86" s="2" t="n">
        <v>1</v>
      </c>
      <c r="L86" s="2" t="n"/>
      <c r="M86" s="2" t="n"/>
      <c r="N86" s="2" t="n"/>
      <c r="O86" s="2" t="n"/>
      <c r="P86" s="2" t="inlineStr">
        <is>
          <t>LISTED</t>
        </is>
      </c>
      <c r="Q86" s="2" t="n"/>
      <c r="R86" s="2" t="n"/>
      <c r="S86" s="2" t="n">
        <v>33.54864353730992</v>
      </c>
      <c r="T86" s="2" t="n">
        <v>-7.704765961491531</v>
      </c>
      <c r="U86" s="3" t="n">
        <v>5062</v>
      </c>
      <c r="V86" s="2" t="inlineStr"/>
      <c r="W86" s="6" t="inlineStr">
        <is>
          <t>https://yakeey.com/fr-ma/achat/biens/127226</t>
        </is>
      </c>
    </row>
    <row r="87">
      <c r="A87" t="inlineStr">
        <is>
          <t>127258</t>
        </is>
      </c>
      <c r="B87" t="inlineStr">
        <is>
          <t>APARTMENT</t>
        </is>
      </c>
      <c r="C87" t="inlineStr">
        <is>
          <t>Mandarouna</t>
        </is>
      </c>
      <c r="D87" t="inlineStr">
        <is>
          <t>Casablanca</t>
        </is>
      </c>
      <c r="E87" s="7" t="n">
        <v>1320000</v>
      </c>
      <c r="F87" s="8" t="n">
        <v>114</v>
      </c>
      <c r="G87" s="8" t="n"/>
      <c r="H87" s="8" t="n"/>
      <c r="I87" s="9">
        <f>IFERROR(E87/F87,"")</f>
        <v/>
      </c>
      <c r="J87" t="n">
        <v>3</v>
      </c>
      <c r="K87" t="n">
        <v>2</v>
      </c>
      <c r="P87" t="inlineStr">
        <is>
          <t>LISTED</t>
        </is>
      </c>
      <c r="S87" t="n">
        <v>33.53394508292325</v>
      </c>
      <c r="T87" t="n">
        <v>-7.606609501942338</v>
      </c>
      <c r="U87" s="7" t="n">
        <v>7594</v>
      </c>
      <c r="V87" t="inlineStr"/>
      <c r="W87" s="10" t="inlineStr">
        <is>
          <t>https://yakeey.com/fr-ma/achat/biens/127258</t>
        </is>
      </c>
    </row>
    <row r="88">
      <c r="A88" s="2" t="inlineStr">
        <is>
          <t>127338</t>
        </is>
      </c>
      <c r="B88" s="2" t="inlineStr">
        <is>
          <t>APARTMENT</t>
        </is>
      </c>
      <c r="C88" s="2" t="inlineStr">
        <is>
          <t>Oulfa</t>
        </is>
      </c>
      <c r="D88" s="2" t="inlineStr">
        <is>
          <t>Casablanca</t>
        </is>
      </c>
      <c r="E88" s="3" t="n">
        <v>1450000</v>
      </c>
      <c r="F88" s="4" t="n">
        <v>124</v>
      </c>
      <c r="G88" s="4" t="n"/>
      <c r="H88" s="4" t="n"/>
      <c r="I88" s="5">
        <f>IFERROR(E88/F88,"")</f>
        <v/>
      </c>
      <c r="J88" s="2" t="n">
        <v>3</v>
      </c>
      <c r="K88" s="2" t="n">
        <v>2</v>
      </c>
      <c r="L88" s="2" t="n"/>
      <c r="M88" s="2" t="n"/>
      <c r="N88" s="2" t="n"/>
      <c r="O88" s="2" t="n"/>
      <c r="P88" s="2" t="inlineStr">
        <is>
          <t>LISTED</t>
        </is>
      </c>
      <c r="Q88" s="2" t="n"/>
      <c r="R88" s="2" t="n"/>
      <c r="S88" s="2" t="n">
        <v>33.55927424795829</v>
      </c>
      <c r="T88" s="2" t="n">
        <v>-7.672676142968311</v>
      </c>
      <c r="U88" s="3" t="n">
        <v>8341</v>
      </c>
      <c r="V88" s="2" t="inlineStr"/>
      <c r="W88" s="6" t="inlineStr">
        <is>
          <t>https://yakeey.com/fr-ma/achat/biens/127338</t>
        </is>
      </c>
    </row>
    <row r="89">
      <c r="A89" t="inlineStr">
        <is>
          <t>127516</t>
        </is>
      </c>
      <c r="B89" t="inlineStr">
        <is>
          <t>APARTMENT</t>
        </is>
      </c>
      <c r="C89" t="inlineStr">
        <is>
          <t>Californie</t>
        </is>
      </c>
      <c r="D89" t="inlineStr">
        <is>
          <t>Casablanca</t>
        </is>
      </c>
      <c r="E89" s="7" t="n">
        <v>540000</v>
      </c>
      <c r="F89" s="8" t="n">
        <v>57</v>
      </c>
      <c r="G89" s="8" t="n"/>
      <c r="H89" s="8" t="n"/>
      <c r="I89" s="9">
        <f>IFERROR(E89/F89,"")</f>
        <v/>
      </c>
      <c r="J89" t="n">
        <v>2</v>
      </c>
      <c r="K89" t="n">
        <v>1</v>
      </c>
      <c r="P89" t="inlineStr">
        <is>
          <t>LISTED</t>
        </is>
      </c>
      <c r="S89" t="n">
        <v>33.53177405189506</v>
      </c>
      <c r="T89" t="n">
        <v>-7.632546045705534</v>
      </c>
      <c r="U89" s="7" t="n">
        <v>3106</v>
      </c>
      <c r="V89" t="inlineStr"/>
      <c r="W89" s="10" t="inlineStr">
        <is>
          <t>https://yakeey.com/fr-ma/achat/biens/127516</t>
        </is>
      </c>
    </row>
    <row r="90">
      <c r="A90" s="2" t="inlineStr">
        <is>
          <t>127721</t>
        </is>
      </c>
      <c r="B90" s="2" t="inlineStr">
        <is>
          <t>APARTMENT</t>
        </is>
      </c>
      <c r="C90" s="2" t="inlineStr">
        <is>
          <t>Nassim</t>
        </is>
      </c>
      <c r="D90" s="2" t="inlineStr">
        <is>
          <t>Casablanca</t>
        </is>
      </c>
      <c r="E90" s="3" t="n">
        <v>1180000</v>
      </c>
      <c r="F90" s="4" t="n">
        <v>110</v>
      </c>
      <c r="G90" s="4" t="n"/>
      <c r="H90" s="4" t="n"/>
      <c r="I90" s="5">
        <f>IFERROR(E90/F90,"")</f>
        <v/>
      </c>
      <c r="J90" s="2" t="n">
        <v>3</v>
      </c>
      <c r="K90" s="2" t="n">
        <v>2</v>
      </c>
      <c r="L90" s="2" t="n"/>
      <c r="M90" s="2" t="n"/>
      <c r="N90" s="2" t="n"/>
      <c r="O90" s="2" t="n"/>
      <c r="P90" s="2" t="inlineStr">
        <is>
          <t>LISTED</t>
        </is>
      </c>
      <c r="Q90" s="2" t="n"/>
      <c r="R90" s="2" t="n"/>
      <c r="S90" s="2" t="n">
        <v>33.52604593663333</v>
      </c>
      <c r="T90" s="2" t="n">
        <v>-7.659845910211393</v>
      </c>
      <c r="U90" s="3" t="n">
        <v>6788</v>
      </c>
      <c r="V90" s="2" t="inlineStr"/>
      <c r="W90" s="6" t="inlineStr">
        <is>
          <t>https://yakeey.com/fr-ma/achat/biens/127721</t>
        </is>
      </c>
    </row>
    <row r="91">
      <c r="A91" t="inlineStr">
        <is>
          <t>127935</t>
        </is>
      </c>
      <c r="B91" t="inlineStr">
        <is>
          <t>APARTMENT</t>
        </is>
      </c>
      <c r="C91" t="inlineStr">
        <is>
          <t>Casablanca Marina</t>
        </is>
      </c>
      <c r="D91" t="inlineStr">
        <is>
          <t>Casablanca</t>
        </is>
      </c>
      <c r="E91" s="7" t="n">
        <v>1900000</v>
      </c>
      <c r="F91" s="8" t="n">
        <v>85</v>
      </c>
      <c r="G91" s="8" t="n"/>
      <c r="H91" s="8" t="n"/>
      <c r="I91" s="9">
        <f>IFERROR(E91/F91,"")</f>
        <v/>
      </c>
      <c r="J91" t="n">
        <v>2</v>
      </c>
      <c r="K91" t="n">
        <v>2</v>
      </c>
      <c r="P91" t="inlineStr">
        <is>
          <t>LISTED</t>
        </is>
      </c>
      <c r="S91" t="n">
        <v>33.5995878072217</v>
      </c>
      <c r="T91" t="n">
        <v>-7.612553116862152</v>
      </c>
      <c r="U91" s="7" t="n">
        <v>10930</v>
      </c>
      <c r="V91" t="inlineStr"/>
      <c r="W91" s="10" t="inlineStr">
        <is>
          <t>https://yakeey.com/fr-ma/achat/biens/127935</t>
        </is>
      </c>
    </row>
    <row r="92">
      <c r="A92" s="2" t="inlineStr">
        <is>
          <t>12823</t>
        </is>
      </c>
      <c r="B92" s="2" t="inlineStr">
        <is>
          <t>APARTMENT</t>
        </is>
      </c>
      <c r="C92" s="2" t="inlineStr">
        <is>
          <t>Racine</t>
        </is>
      </c>
      <c r="D92" s="2" t="inlineStr">
        <is>
          <t>Casablanca</t>
        </is>
      </c>
      <c r="E92" s="3" t="n">
        <v>3980000</v>
      </c>
      <c r="F92" s="4" t="n">
        <v>293</v>
      </c>
      <c r="G92" s="4" t="n"/>
      <c r="H92" s="4" t="n"/>
      <c r="I92" s="5">
        <f>IFERROR(E92/F92,"")</f>
        <v/>
      </c>
      <c r="J92" s="2" t="n">
        <v>3</v>
      </c>
      <c r="K92" s="2" t="n">
        <v>2</v>
      </c>
      <c r="L92" s="2" t="n"/>
      <c r="M92" s="2" t="n"/>
      <c r="N92" s="2" t="n"/>
      <c r="O92" s="2" t="n"/>
      <c r="P92" s="2" t="inlineStr">
        <is>
          <t>LISTED</t>
        </is>
      </c>
      <c r="Q92" s="2" t="n"/>
      <c r="R92" s="2" t="n"/>
      <c r="S92" s="2" t="n">
        <v>33.58799566814879</v>
      </c>
      <c r="T92" s="2" t="n">
        <v>-7.644259803597172</v>
      </c>
      <c r="U92" s="3" t="n">
        <v>22897</v>
      </c>
      <c r="V92" s="2" t="inlineStr"/>
      <c r="W92" s="6" t="inlineStr">
        <is>
          <t>https://yakeey.com/fr-ma/achat/biens/12823</t>
        </is>
      </c>
    </row>
    <row r="93">
      <c r="A93" t="inlineStr">
        <is>
          <t>13491</t>
        </is>
      </c>
      <c r="B93" t="inlineStr">
        <is>
          <t>APARTMENT</t>
        </is>
      </c>
      <c r="C93" t="inlineStr">
        <is>
          <t>Gauthier</t>
        </is>
      </c>
      <c r="D93" t="inlineStr">
        <is>
          <t>Casablanca</t>
        </is>
      </c>
      <c r="E93" s="7" t="n">
        <v>2350000</v>
      </c>
      <c r="F93" s="8" t="n">
        <v>178</v>
      </c>
      <c r="G93" s="8" t="n"/>
      <c r="H93" s="8" t="n"/>
      <c r="I93" s="9">
        <f>IFERROR(E93/F93,"")</f>
        <v/>
      </c>
      <c r="J93" t="n">
        <v>2</v>
      </c>
      <c r="K93" t="n">
        <v>2</v>
      </c>
      <c r="P93" t="inlineStr">
        <is>
          <t>LISTED</t>
        </is>
      </c>
      <c r="S93" t="n">
        <v>33.59168810563984</v>
      </c>
      <c r="T93" t="n">
        <v>-7.634853617388696</v>
      </c>
      <c r="U93" s="7" t="n">
        <v>13519</v>
      </c>
      <c r="V93" t="inlineStr"/>
      <c r="W93" s="10" t="inlineStr">
        <is>
          <t>https://yakeey.com/fr-ma/achat/biens/13491</t>
        </is>
      </c>
    </row>
    <row r="94">
      <c r="A94" s="2" t="inlineStr">
        <is>
          <t>135160</t>
        </is>
      </c>
      <c r="B94" s="2" t="inlineStr">
        <is>
          <t>APARTMENT</t>
        </is>
      </c>
      <c r="C94" s="2" t="inlineStr">
        <is>
          <t>Ain Chock</t>
        </is>
      </c>
      <c r="D94" s="2" t="inlineStr">
        <is>
          <t>Casablanca</t>
        </is>
      </c>
      <c r="E94" s="3" t="n">
        <v>960000</v>
      </c>
      <c r="F94" s="4" t="n">
        <v>81</v>
      </c>
      <c r="G94" s="4" t="n"/>
      <c r="H94" s="4" t="n"/>
      <c r="I94" s="5">
        <f>IFERROR(E94/F94,"")</f>
        <v/>
      </c>
      <c r="J94" s="2" t="n">
        <v>2</v>
      </c>
      <c r="K94" s="2" t="n">
        <v>1</v>
      </c>
      <c r="L94" s="2" t="n"/>
      <c r="M94" s="2" t="n"/>
      <c r="N94" s="2" t="n"/>
      <c r="O94" s="2" t="n"/>
      <c r="P94" s="2" t="inlineStr">
        <is>
          <t>LISTED</t>
        </is>
      </c>
      <c r="Q94" s="2" t="n"/>
      <c r="R94" s="2" t="n"/>
      <c r="S94" s="2" t="n">
        <v>33.55724068138704</v>
      </c>
      <c r="T94" s="2" t="n">
        <v>-7.598520769139672</v>
      </c>
      <c r="U94" s="3" t="n">
        <v>5522</v>
      </c>
      <c r="V94" s="2" t="inlineStr"/>
      <c r="W94" s="6" t="inlineStr">
        <is>
          <t>https://yakeey.com/fr-ma/achat/biens/135160</t>
        </is>
      </c>
    </row>
    <row r="95">
      <c r="A95" t="inlineStr">
        <is>
          <t>135353</t>
        </is>
      </c>
      <c r="B95" t="inlineStr">
        <is>
          <t>APARTMENT</t>
        </is>
      </c>
      <c r="C95" t="inlineStr">
        <is>
          <t>Gauthier</t>
        </is>
      </c>
      <c r="D95" t="inlineStr">
        <is>
          <t>Casablanca</t>
        </is>
      </c>
      <c r="E95" s="7" t="n">
        <v>2184000</v>
      </c>
      <c r="F95" s="8" t="n">
        <v>119</v>
      </c>
      <c r="G95" s="8" t="n"/>
      <c r="H95" s="8" t="n"/>
      <c r="I95" s="9">
        <f>IFERROR(E95/F95,"")</f>
        <v/>
      </c>
      <c r="J95" t="n">
        <v>2</v>
      </c>
      <c r="K95" t="n">
        <v>3</v>
      </c>
      <c r="P95" t="inlineStr">
        <is>
          <t>LISTED</t>
        </is>
      </c>
      <c r="S95" t="n">
        <v>33.59102591597691</v>
      </c>
      <c r="T95" t="n">
        <v>-7.628221606360375</v>
      </c>
      <c r="U95" s="7" t="n">
        <v>12564</v>
      </c>
      <c r="V95" t="inlineStr"/>
      <c r="W95" s="10" t="inlineStr">
        <is>
          <t>https://yakeey.com/fr-ma/achat/biens/135353</t>
        </is>
      </c>
    </row>
    <row r="96">
      <c r="A96" s="2" t="inlineStr">
        <is>
          <t>135826</t>
        </is>
      </c>
      <c r="B96" s="2" t="inlineStr">
        <is>
          <t>APARTMENT</t>
        </is>
      </c>
      <c r="C96" s="2" t="inlineStr">
        <is>
          <t>Californie</t>
        </is>
      </c>
      <c r="D96" s="2" t="inlineStr">
        <is>
          <t>Casablanca</t>
        </is>
      </c>
      <c r="E96" s="3" t="n">
        <v>2600000</v>
      </c>
      <c r="F96" s="4" t="n">
        <v>150</v>
      </c>
      <c r="G96" s="4" t="n"/>
      <c r="H96" s="4" t="n"/>
      <c r="I96" s="5">
        <f>IFERROR(E96/F96,"")</f>
        <v/>
      </c>
      <c r="J96" s="2" t="n">
        <v>3</v>
      </c>
      <c r="K96" s="2" t="n">
        <v>2</v>
      </c>
      <c r="L96" s="2" t="n"/>
      <c r="M96" s="2" t="n"/>
      <c r="N96" s="2" t="n"/>
      <c r="O96" s="2" t="n"/>
      <c r="P96" s="2" t="inlineStr">
        <is>
          <t>LISTED</t>
        </is>
      </c>
      <c r="Q96" s="2" t="n"/>
      <c r="R96" s="2" t="n"/>
      <c r="S96" s="2" t="n">
        <v>33.52805836693992</v>
      </c>
      <c r="T96" s="2" t="n">
        <v>-7.610699356877293</v>
      </c>
      <c r="U96" s="3" t="n">
        <v>14957</v>
      </c>
      <c r="V96" s="2" t="inlineStr"/>
      <c r="W96" s="6" t="inlineStr">
        <is>
          <t>https://yakeey.com/fr-ma/achat/biens/135826</t>
        </is>
      </c>
    </row>
    <row r="97">
      <c r="A97" t="inlineStr">
        <is>
          <t>136001</t>
        </is>
      </c>
      <c r="B97" t="inlineStr">
        <is>
          <t>APARTMENT</t>
        </is>
      </c>
      <c r="C97" t="inlineStr">
        <is>
          <t>Bourgogne (Sidi Belyout)</t>
        </is>
      </c>
      <c r="D97" t="inlineStr">
        <is>
          <t>Casablanca</t>
        </is>
      </c>
      <c r="E97" s="7" t="n">
        <v>1650000</v>
      </c>
      <c r="F97" s="8" t="n">
        <v>111</v>
      </c>
      <c r="G97" s="8" t="n"/>
      <c r="H97" s="8" t="n"/>
      <c r="I97" s="9">
        <f>IFERROR(E97/F97,"")</f>
        <v/>
      </c>
      <c r="J97" t="n">
        <v>3</v>
      </c>
      <c r="P97" t="inlineStr">
        <is>
          <t>LISTED</t>
        </is>
      </c>
      <c r="S97" t="n">
        <v>33.59555244549927</v>
      </c>
      <c r="T97" t="n">
        <v>-7.634731196773755</v>
      </c>
      <c r="U97" s="7" t="n">
        <v>9492</v>
      </c>
      <c r="V97" t="inlineStr"/>
      <c r="W97" s="10" t="inlineStr">
        <is>
          <t>https://yakeey.com/fr-ma/achat/biens/136001</t>
        </is>
      </c>
    </row>
    <row r="98">
      <c r="A98" s="2" t="inlineStr">
        <is>
          <t>13621</t>
        </is>
      </c>
      <c r="B98" s="2" t="inlineStr">
        <is>
          <t>APARTMENT</t>
        </is>
      </c>
      <c r="C98" s="2" t="inlineStr">
        <is>
          <t>Bouskoura</t>
        </is>
      </c>
      <c r="D98" s="2" t="inlineStr">
        <is>
          <t>Bouskoura</t>
        </is>
      </c>
      <c r="E98" s="3" t="n">
        <v>600000</v>
      </c>
      <c r="F98" s="4" t="n">
        <v>75</v>
      </c>
      <c r="G98" s="4" t="n"/>
      <c r="H98" s="4" t="n"/>
      <c r="I98" s="5">
        <f>IFERROR(E98/F98,"")</f>
        <v/>
      </c>
      <c r="J98" s="2" t="n">
        <v>2</v>
      </c>
      <c r="K98" s="2" t="n">
        <v>1</v>
      </c>
      <c r="L98" s="2" t="n"/>
      <c r="M98" s="2" t="n"/>
      <c r="N98" s="2" t="n"/>
      <c r="O98" s="2" t="n"/>
      <c r="P98" s="2" t="inlineStr">
        <is>
          <t>LISTED</t>
        </is>
      </c>
      <c r="Q98" s="2" t="n"/>
      <c r="R98" s="2" t="n"/>
      <c r="S98" s="2" t="n">
        <v>33.45950553994363</v>
      </c>
      <c r="T98" s="2" t="n">
        <v>-7.645963985525706</v>
      </c>
      <c r="U98" s="3" t="n">
        <v>3451</v>
      </c>
      <c r="V98" s="2" t="inlineStr"/>
      <c r="W98" s="6" t="inlineStr">
        <is>
          <t>https://yakeey.com/fr-ma/achat/biens/13621</t>
        </is>
      </c>
    </row>
    <row r="99">
      <c r="A99" t="inlineStr">
        <is>
          <t>136296</t>
        </is>
      </c>
      <c r="B99" t="inlineStr">
        <is>
          <t>APARTMENT</t>
        </is>
      </c>
      <c r="C99" t="inlineStr">
        <is>
          <t>Sindibad</t>
        </is>
      </c>
      <c r="D99" t="inlineStr">
        <is>
          <t>Casablanca</t>
        </is>
      </c>
      <c r="E99" s="7" t="n">
        <v>1900000</v>
      </c>
      <c r="F99" s="8" t="n">
        <v>144</v>
      </c>
      <c r="G99" s="8" t="n"/>
      <c r="H99" s="8" t="n"/>
      <c r="I99" s="9">
        <f>IFERROR(E99/F99,"")</f>
        <v/>
      </c>
      <c r="J99" t="n">
        <v>3</v>
      </c>
      <c r="K99" t="n">
        <v>2</v>
      </c>
      <c r="P99" t="inlineStr">
        <is>
          <t>LISTED</t>
        </is>
      </c>
      <c r="S99" t="n">
        <v>33.57235893145868</v>
      </c>
      <c r="T99" t="n">
        <v>-7.691722251622378</v>
      </c>
      <c r="U99" s="7" t="n">
        <v>10930</v>
      </c>
      <c r="V99" t="inlineStr"/>
      <c r="W99" s="10" t="inlineStr">
        <is>
          <t>https://yakeey.com/fr-ma/achat/biens/136296</t>
        </is>
      </c>
    </row>
    <row r="100">
      <c r="A100" s="2" t="inlineStr">
        <is>
          <t>136370</t>
        </is>
      </c>
      <c r="B100" s="2" t="inlineStr">
        <is>
          <t>APARTMENT</t>
        </is>
      </c>
      <c r="C100" s="2" t="inlineStr">
        <is>
          <t>Californie</t>
        </is>
      </c>
      <c r="D100" s="2" t="inlineStr">
        <is>
          <t>Casablanca</t>
        </is>
      </c>
      <c r="E100" s="3" t="n">
        <v>1760000</v>
      </c>
      <c r="F100" s="4" t="n">
        <v>144</v>
      </c>
      <c r="G100" s="4" t="n"/>
      <c r="H100" s="4" t="n"/>
      <c r="I100" s="5">
        <f>IFERROR(E100/F100,"")</f>
        <v/>
      </c>
      <c r="J100" s="2" t="n">
        <v>3</v>
      </c>
      <c r="K100" s="2" t="n">
        <v>2</v>
      </c>
      <c r="L100" s="2" t="n"/>
      <c r="M100" s="2" t="n"/>
      <c r="N100" s="2" t="n"/>
      <c r="O100" s="2" t="n"/>
      <c r="P100" s="2" t="inlineStr">
        <is>
          <t>LISTED</t>
        </is>
      </c>
      <c r="Q100" s="2" t="n"/>
      <c r="R100" s="2" t="n"/>
      <c r="S100" s="2" t="n">
        <v>33.54404217576799</v>
      </c>
      <c r="T100" s="2" t="n">
        <v>-7.618660648854639</v>
      </c>
      <c r="U100" s="3" t="n">
        <v>10125</v>
      </c>
      <c r="V100" s="2" t="inlineStr"/>
      <c r="W100" s="6" t="inlineStr">
        <is>
          <t>https://yakeey.com/fr-ma/achat/biens/136370</t>
        </is>
      </c>
    </row>
    <row r="101">
      <c r="A101" t="inlineStr">
        <is>
          <t>136526</t>
        </is>
      </c>
      <c r="B101" t="inlineStr">
        <is>
          <t>APARTMENT</t>
        </is>
      </c>
      <c r="C101" t="inlineStr">
        <is>
          <t>Hopitaux</t>
        </is>
      </c>
      <c r="D101" t="inlineStr">
        <is>
          <t>Casablanca</t>
        </is>
      </c>
      <c r="E101" s="7" t="n">
        <v>2750000</v>
      </c>
      <c r="F101" s="8" t="n">
        <v>198</v>
      </c>
      <c r="G101" s="8" t="n"/>
      <c r="H101" s="8" t="n"/>
      <c r="I101" s="9">
        <f>IFERROR(E101/F101,"")</f>
        <v/>
      </c>
      <c r="J101" t="n">
        <v>3</v>
      </c>
      <c r="K101" t="n">
        <v>2</v>
      </c>
      <c r="P101" t="inlineStr">
        <is>
          <t>LISTED</t>
        </is>
      </c>
      <c r="S101" t="n">
        <v>33.5827838328413</v>
      </c>
      <c r="T101" t="n">
        <v>-7.617595794794018</v>
      </c>
      <c r="U101" s="7" t="n">
        <v>15820</v>
      </c>
      <c r="V101" t="inlineStr"/>
      <c r="W101" s="10" t="inlineStr">
        <is>
          <t>https://yakeey.com/fr-ma/achat/biens/136526</t>
        </is>
      </c>
    </row>
    <row r="102">
      <c r="A102" s="2" t="inlineStr">
        <is>
          <t>136796</t>
        </is>
      </c>
      <c r="B102" s="2" t="inlineStr">
        <is>
          <t>APARTMENT</t>
        </is>
      </c>
      <c r="C102" s="2" t="inlineStr">
        <is>
          <t>Bournazil</t>
        </is>
      </c>
      <c r="D102" s="2" t="inlineStr">
        <is>
          <t>Casablanca</t>
        </is>
      </c>
      <c r="E102" s="3" t="n">
        <v>1050000</v>
      </c>
      <c r="F102" s="4" t="n">
        <v>121</v>
      </c>
      <c r="G102" s="4" t="n"/>
      <c r="H102" s="4" t="n"/>
      <c r="I102" s="5">
        <f>IFERROR(E102/F102,"")</f>
        <v/>
      </c>
      <c r="J102" s="2" t="n">
        <v>2</v>
      </c>
      <c r="K102" s="2" t="n">
        <v>1</v>
      </c>
      <c r="L102" s="2" t="n"/>
      <c r="M102" s="2" t="n"/>
      <c r="N102" s="2" t="n"/>
      <c r="O102" s="2" t="n"/>
      <c r="P102" s="2" t="inlineStr">
        <is>
          <t>LISTED</t>
        </is>
      </c>
      <c r="Q102" s="2" t="n"/>
      <c r="R102" s="2" t="n"/>
      <c r="S102" s="2" t="n">
        <v>33.57517540582058</v>
      </c>
      <c r="T102" s="2" t="n">
        <v>-7.555307710658866</v>
      </c>
      <c r="U102" s="3" t="n">
        <v>6040</v>
      </c>
      <c r="V102" s="2" t="inlineStr"/>
      <c r="W102" s="6" t="inlineStr">
        <is>
          <t>https://yakeey.com/fr-ma/achat/biens/136796</t>
        </is>
      </c>
    </row>
    <row r="103">
      <c r="A103" t="inlineStr">
        <is>
          <t>13706</t>
        </is>
      </c>
      <c r="B103" t="inlineStr">
        <is>
          <t>APARTMENT</t>
        </is>
      </c>
      <c r="C103" t="inlineStr">
        <is>
          <t>Ain Sebaa</t>
        </is>
      </c>
      <c r="D103" t="inlineStr">
        <is>
          <t>Casablanca</t>
        </is>
      </c>
      <c r="E103" s="7" t="n">
        <v>1482000</v>
      </c>
      <c r="F103" s="8" t="n">
        <v>132</v>
      </c>
      <c r="G103" s="8" t="n"/>
      <c r="H103" s="8" t="n"/>
      <c r="I103" s="9">
        <f>IFERROR(E103/F103,"")</f>
        <v/>
      </c>
      <c r="J103" t="n">
        <v>3</v>
      </c>
      <c r="K103" t="n">
        <v>2</v>
      </c>
      <c r="P103" t="inlineStr">
        <is>
          <t>LISTED</t>
        </is>
      </c>
      <c r="S103" t="n">
        <v>33.60113265491876</v>
      </c>
      <c r="T103" t="n">
        <v>-7.535972859706049</v>
      </c>
      <c r="U103" s="7" t="n">
        <v>8526</v>
      </c>
      <c r="V103" t="inlineStr"/>
      <c r="W103" s="10" t="inlineStr">
        <is>
          <t>https://yakeey.com/fr-ma/achat/biens/13706</t>
        </is>
      </c>
    </row>
    <row r="104">
      <c r="A104" s="2" t="inlineStr">
        <is>
          <t>137254</t>
        </is>
      </c>
      <c r="B104" s="2" t="inlineStr">
        <is>
          <t>APARTMENT</t>
        </is>
      </c>
      <c r="C104" s="2" t="inlineStr">
        <is>
          <t>Triangle D'Or</t>
        </is>
      </c>
      <c r="D104" s="2" t="inlineStr">
        <is>
          <t>Casablanca</t>
        </is>
      </c>
      <c r="E104" s="3" t="n">
        <v>3000000</v>
      </c>
      <c r="F104" s="4" t="n">
        <v>172</v>
      </c>
      <c r="G104" s="4" t="n"/>
      <c r="H104" s="4" t="n"/>
      <c r="I104" s="5">
        <f>IFERROR(E104/F104,"")</f>
        <v/>
      </c>
      <c r="J104" s="2" t="n">
        <v>2</v>
      </c>
      <c r="K104" s="2" t="n">
        <v>2</v>
      </c>
      <c r="L104" s="2" t="n"/>
      <c r="M104" s="2" t="n"/>
      <c r="N104" s="2" t="n"/>
      <c r="O104" s="2" t="n"/>
      <c r="P104" s="2" t="inlineStr">
        <is>
          <t>LISTED</t>
        </is>
      </c>
      <c r="Q104" s="2" t="n"/>
      <c r="R104" s="2" t="n"/>
      <c r="S104" s="2" t="n">
        <v>33.59354355253888</v>
      </c>
      <c r="T104" s="2" t="n">
        <v>-7.641413696475098</v>
      </c>
      <c r="U104" s="3" t="n">
        <v>17259</v>
      </c>
      <c r="V104" s="2" t="inlineStr"/>
      <c r="W104" s="6" t="inlineStr">
        <is>
          <t>https://yakeey.com/fr-ma/achat/biens/137254</t>
        </is>
      </c>
    </row>
    <row r="105">
      <c r="A105" t="inlineStr">
        <is>
          <t>137533</t>
        </is>
      </c>
      <c r="B105" t="inlineStr">
        <is>
          <t>APARTMENT</t>
        </is>
      </c>
      <c r="C105" t="inlineStr">
        <is>
          <t>Hopitaux</t>
        </is>
      </c>
      <c r="D105" t="inlineStr">
        <is>
          <t>Casablanca</t>
        </is>
      </c>
      <c r="E105" s="7" t="n">
        <v>2400000</v>
      </c>
      <c r="F105" s="8" t="n">
        <v>270</v>
      </c>
      <c r="G105" s="8" t="n"/>
      <c r="H105" s="8" t="n"/>
      <c r="I105" s="9">
        <f>IFERROR(E105/F105,"")</f>
        <v/>
      </c>
      <c r="J105" t="n">
        <v>3</v>
      </c>
      <c r="K105" t="n">
        <v>2</v>
      </c>
      <c r="P105" t="inlineStr">
        <is>
          <t>LISTED</t>
        </is>
      </c>
      <c r="S105" t="n">
        <v>33.57811770619898</v>
      </c>
      <c r="T105" t="n">
        <v>-7.622055976455594</v>
      </c>
      <c r="U105" s="7" t="n">
        <v>13807</v>
      </c>
      <c r="V105" t="inlineStr"/>
      <c r="W105" s="10" t="inlineStr">
        <is>
          <t>https://yakeey.com/fr-ma/achat/biens/137533</t>
        </is>
      </c>
    </row>
    <row r="106">
      <c r="A106" s="2" t="inlineStr">
        <is>
          <t>137549</t>
        </is>
      </c>
      <c r="B106" s="2" t="inlineStr">
        <is>
          <t>APARTMENT</t>
        </is>
      </c>
      <c r="C106" s="2" t="inlineStr">
        <is>
          <t>Derb Omar</t>
        </is>
      </c>
      <c r="D106" s="2" t="inlineStr">
        <is>
          <t>Casablanca</t>
        </is>
      </c>
      <c r="E106" s="3" t="n">
        <v>725000</v>
      </c>
      <c r="F106" s="4" t="n">
        <v>69</v>
      </c>
      <c r="G106" s="4" t="n"/>
      <c r="H106" s="4" t="n"/>
      <c r="I106" s="5">
        <f>IFERROR(E106/F106,"")</f>
        <v/>
      </c>
      <c r="J106" s="2" t="n">
        <v>2</v>
      </c>
      <c r="K106" s="2" t="n">
        <v>1</v>
      </c>
      <c r="L106" s="2" t="n"/>
      <c r="M106" s="2" t="n"/>
      <c r="N106" s="2" t="n"/>
      <c r="O106" s="2" t="n"/>
      <c r="P106" s="2" t="inlineStr">
        <is>
          <t>LISTED</t>
        </is>
      </c>
      <c r="Q106" s="2" t="n"/>
      <c r="R106" s="2" t="n"/>
      <c r="S106" s="2" t="n">
        <v>33.58723758415406</v>
      </c>
      <c r="T106" s="2" t="n">
        <v>-7.609446645113436</v>
      </c>
      <c r="U106" s="3" t="n">
        <v>4170</v>
      </c>
      <c r="V106" s="2" t="inlineStr"/>
      <c r="W106" s="6" t="inlineStr">
        <is>
          <t>https://yakeey.com/fr-ma/achat/biens/137549</t>
        </is>
      </c>
    </row>
    <row r="107">
      <c r="A107" t="inlineStr">
        <is>
          <t>137585</t>
        </is>
      </c>
      <c r="B107" t="inlineStr">
        <is>
          <t>APARTMENT</t>
        </is>
      </c>
      <c r="C107" t="inlineStr">
        <is>
          <t>Hwawra</t>
        </is>
      </c>
      <c r="D107" t="inlineStr">
        <is>
          <t>Sidi Rahal</t>
        </is>
      </c>
      <c r="E107" s="7" t="n">
        <v>1480000</v>
      </c>
      <c r="F107" s="8" t="n">
        <v>149</v>
      </c>
      <c r="G107" s="8" t="n"/>
      <c r="H107" s="8" t="n"/>
      <c r="I107" s="9">
        <f>IFERROR(E107/F107,"")</f>
        <v/>
      </c>
      <c r="J107" t="n">
        <v>3</v>
      </c>
      <c r="K107" t="n">
        <v>1</v>
      </c>
      <c r="P107" t="inlineStr">
        <is>
          <t>LISTED</t>
        </is>
      </c>
      <c r="S107" t="n">
        <v>33.45159725665722</v>
      </c>
      <c r="T107" t="n">
        <v>-8.018130390681034</v>
      </c>
      <c r="U107" s="7" t="n">
        <v>8514</v>
      </c>
      <c r="V107" t="inlineStr"/>
      <c r="W107" s="10" t="inlineStr">
        <is>
          <t>https://yakeey.com/fr-ma/achat/biens/137585</t>
        </is>
      </c>
    </row>
    <row r="108">
      <c r="A108" s="2" t="inlineStr">
        <is>
          <t>137637</t>
        </is>
      </c>
      <c r="B108" s="2" t="inlineStr">
        <is>
          <t>APARTMENT</t>
        </is>
      </c>
      <c r="C108" s="2" t="inlineStr">
        <is>
          <t>Belvedere (Roches Noires)</t>
        </is>
      </c>
      <c r="D108" s="2" t="inlineStr">
        <is>
          <t>Casablanca</t>
        </is>
      </c>
      <c r="E108" s="3" t="n">
        <v>1350000</v>
      </c>
      <c r="F108" s="4" t="n">
        <v>121</v>
      </c>
      <c r="G108" s="4" t="n"/>
      <c r="H108" s="4" t="n"/>
      <c r="I108" s="5">
        <f>IFERROR(E108/F108,"")</f>
        <v/>
      </c>
      <c r="J108" s="2" t="n">
        <v>2</v>
      </c>
      <c r="K108" s="2" t="n">
        <v>2</v>
      </c>
      <c r="L108" s="2" t="n"/>
      <c r="M108" s="2" t="n"/>
      <c r="N108" s="2" t="n"/>
      <c r="O108" s="2" t="n"/>
      <c r="P108" s="2" t="inlineStr">
        <is>
          <t>LISTED</t>
        </is>
      </c>
      <c r="Q108" s="2" t="n"/>
      <c r="R108" s="2" t="n"/>
      <c r="S108" s="2" t="n">
        <v>33.58920370002553</v>
      </c>
      <c r="T108" s="2" t="n">
        <v>-7.593534545793815</v>
      </c>
      <c r="U108" s="3" t="n">
        <v>7766</v>
      </c>
      <c r="V108" s="2" t="inlineStr"/>
      <c r="W108" s="6" t="inlineStr">
        <is>
          <t>https://yakeey.com/fr-ma/achat/biens/137637</t>
        </is>
      </c>
    </row>
    <row r="109">
      <c r="A109" t="inlineStr">
        <is>
          <t>137849</t>
        </is>
      </c>
      <c r="B109" t="inlineStr">
        <is>
          <t>APARTMENT</t>
        </is>
      </c>
      <c r="C109" t="inlineStr">
        <is>
          <t>Gauthier</t>
        </is>
      </c>
      <c r="D109" t="inlineStr">
        <is>
          <t>Casablanca</t>
        </is>
      </c>
      <c r="E109" s="7" t="n">
        <v>3100000</v>
      </c>
      <c r="F109" s="8" t="n">
        <v>266</v>
      </c>
      <c r="G109" s="8" t="n"/>
      <c r="H109" s="8" t="n"/>
      <c r="I109" s="9">
        <f>IFERROR(E109/F109,"")</f>
        <v/>
      </c>
      <c r="J109" t="n">
        <v>3</v>
      </c>
      <c r="K109" t="n">
        <v>2</v>
      </c>
      <c r="P109" t="inlineStr">
        <is>
          <t>LISTED</t>
        </is>
      </c>
      <c r="S109" t="n">
        <v>33.58991451836948</v>
      </c>
      <c r="T109" t="n">
        <v>-7.633295624981961</v>
      </c>
      <c r="U109" s="7" t="n">
        <v>17834</v>
      </c>
      <c r="V109" t="inlineStr"/>
      <c r="W109" s="10" t="inlineStr">
        <is>
          <t>https://yakeey.com/fr-ma/achat/biens/137849</t>
        </is>
      </c>
    </row>
    <row r="110">
      <c r="A110" s="2" t="inlineStr">
        <is>
          <t>138148</t>
        </is>
      </c>
      <c r="B110" s="2" t="inlineStr">
        <is>
          <t>APARTMENT</t>
        </is>
      </c>
      <c r="C110" s="2" t="inlineStr">
        <is>
          <t>Belvedere (Roches Noires)</t>
        </is>
      </c>
      <c r="D110" s="2" t="inlineStr">
        <is>
          <t>Casablanca</t>
        </is>
      </c>
      <c r="E110" s="3" t="n">
        <v>1140000</v>
      </c>
      <c r="F110" s="4" t="n">
        <v>121</v>
      </c>
      <c r="G110" s="4" t="n"/>
      <c r="H110" s="4" t="n"/>
      <c r="I110" s="5">
        <f>IFERROR(E110/F110,"")</f>
        <v/>
      </c>
      <c r="J110" s="2" t="n">
        <v>2</v>
      </c>
      <c r="K110" s="2" t="n">
        <v>1</v>
      </c>
      <c r="L110" s="2" t="n"/>
      <c r="M110" s="2" t="n"/>
      <c r="N110" s="2" t="n"/>
      <c r="O110" s="2" t="n"/>
      <c r="P110" s="2" t="inlineStr">
        <is>
          <t>LISTED</t>
        </is>
      </c>
      <c r="Q110" s="2" t="n"/>
      <c r="R110" s="2" t="n"/>
      <c r="S110" s="2" t="n">
        <v>33.58913385834341</v>
      </c>
      <c r="T110" s="2" t="n">
        <v>-7.599873325464731</v>
      </c>
      <c r="U110" s="3" t="n">
        <v>6558</v>
      </c>
      <c r="V110" s="2" t="inlineStr"/>
      <c r="W110" s="6" t="inlineStr">
        <is>
          <t>https://yakeey.com/fr-ma/achat/biens/138148</t>
        </is>
      </c>
    </row>
    <row r="111">
      <c r="A111" t="inlineStr">
        <is>
          <t>138251</t>
        </is>
      </c>
      <c r="B111" t="inlineStr">
        <is>
          <t>APARTMENT</t>
        </is>
      </c>
      <c r="C111" t="inlineStr">
        <is>
          <t>Lekrimat</t>
        </is>
      </c>
      <c r="D111" t="inlineStr">
        <is>
          <t>Casablanca</t>
        </is>
      </c>
      <c r="E111" s="7" t="n">
        <v>3000000</v>
      </c>
      <c r="F111" s="8" t="n">
        <v>112</v>
      </c>
      <c r="G111" s="8" t="n"/>
      <c r="H111" s="8" t="n"/>
      <c r="I111" s="9">
        <f>IFERROR(E111/F111,"")</f>
        <v/>
      </c>
      <c r="J111" t="n">
        <v>2</v>
      </c>
      <c r="K111" t="n">
        <v>2</v>
      </c>
      <c r="P111" t="inlineStr">
        <is>
          <t>LISTED</t>
        </is>
      </c>
      <c r="S111" t="n">
        <v>33.54332367435564</v>
      </c>
      <c r="T111" t="n">
        <v>-7.615066686282245</v>
      </c>
      <c r="U111" s="7" t="n">
        <v>17259</v>
      </c>
      <c r="V111" t="inlineStr"/>
      <c r="W111" s="10" t="inlineStr">
        <is>
          <t>https://yakeey.com/fr-ma/achat/biens/138251</t>
        </is>
      </c>
    </row>
    <row r="112">
      <c r="A112" s="2" t="inlineStr">
        <is>
          <t>138266</t>
        </is>
      </c>
      <c r="B112" s="2" t="inlineStr">
        <is>
          <t>APARTMENT</t>
        </is>
      </c>
      <c r="C112" s="2" t="inlineStr">
        <is>
          <t>Les Princesses</t>
        </is>
      </c>
      <c r="D112" s="2" t="inlineStr">
        <is>
          <t>Casablanca</t>
        </is>
      </c>
      <c r="E112" s="3" t="n">
        <v>1750000</v>
      </c>
      <c r="F112" s="4" t="n">
        <v>118</v>
      </c>
      <c r="G112" s="4" t="n"/>
      <c r="H112" s="4" t="n"/>
      <c r="I112" s="5">
        <f>IFERROR(E112/F112,"")</f>
        <v/>
      </c>
      <c r="J112" s="2" t="n">
        <v>3</v>
      </c>
      <c r="K112" s="2" t="n">
        <v>2</v>
      </c>
      <c r="L112" s="2" t="n"/>
      <c r="M112" s="2" t="n"/>
      <c r="N112" s="2" t="n"/>
      <c r="O112" s="2" t="n"/>
      <c r="P112" s="2" t="inlineStr">
        <is>
          <t>LISTED</t>
        </is>
      </c>
      <c r="Q112" s="2" t="n"/>
      <c r="R112" s="2" t="n"/>
      <c r="S112" s="2" t="n">
        <v>33.57480843487448</v>
      </c>
      <c r="T112" s="2" t="n">
        <v>-7.646053230101821</v>
      </c>
      <c r="U112" s="3" t="n">
        <v>10067</v>
      </c>
      <c r="V112" s="2" t="inlineStr"/>
      <c r="W112" s="6" t="inlineStr">
        <is>
          <t>https://yakeey.com/fr-ma/achat/biens/138266</t>
        </is>
      </c>
    </row>
    <row r="113">
      <c r="A113" t="inlineStr">
        <is>
          <t>138432</t>
        </is>
      </c>
      <c r="B113" t="inlineStr">
        <is>
          <t>APARTMENT</t>
        </is>
      </c>
      <c r="C113" t="inlineStr">
        <is>
          <t>Hopitaux</t>
        </is>
      </c>
      <c r="D113" t="inlineStr">
        <is>
          <t>Casablanca</t>
        </is>
      </c>
      <c r="E113" s="7" t="n">
        <v>2500000</v>
      </c>
      <c r="F113" s="8" t="n">
        <v>281</v>
      </c>
      <c r="G113" s="8" t="n"/>
      <c r="H113" s="8" t="n"/>
      <c r="I113" s="9">
        <f>IFERROR(E113/F113,"")</f>
        <v/>
      </c>
      <c r="J113" t="n">
        <v>3</v>
      </c>
      <c r="K113" t="n">
        <v>2</v>
      </c>
      <c r="P113" t="inlineStr">
        <is>
          <t>LISTED</t>
        </is>
      </c>
      <c r="S113" t="n">
        <v>33.57940723380129</v>
      </c>
      <c r="T113" t="n">
        <v>-7.621651027889719</v>
      </c>
      <c r="U113" s="7" t="n">
        <v>14382</v>
      </c>
      <c r="V113" t="inlineStr"/>
      <c r="W113" s="10" t="inlineStr">
        <is>
          <t>https://yakeey.com/fr-ma/achat/biens/138432</t>
        </is>
      </c>
    </row>
    <row r="114">
      <c r="A114" s="2" t="inlineStr">
        <is>
          <t>138702</t>
        </is>
      </c>
      <c r="B114" s="2" t="inlineStr">
        <is>
          <t>APARTMENT</t>
        </is>
      </c>
      <c r="C114" s="2" t="inlineStr">
        <is>
          <t>Bourgogne (Sidi Belyout)</t>
        </is>
      </c>
      <c r="D114" s="2" t="inlineStr">
        <is>
          <t>Casablanca</t>
        </is>
      </c>
      <c r="E114" s="3" t="n">
        <v>1580000</v>
      </c>
      <c r="F114" s="4" t="n">
        <v>131</v>
      </c>
      <c r="G114" s="4" t="n"/>
      <c r="H114" s="4" t="n"/>
      <c r="I114" s="5">
        <f>IFERROR(E114/F114,"")</f>
        <v/>
      </c>
      <c r="J114" s="2" t="n">
        <v>2</v>
      </c>
      <c r="K114" s="2" t="n">
        <v>2</v>
      </c>
      <c r="L114" s="2" t="n"/>
      <c r="M114" s="2" t="n"/>
      <c r="N114" s="2" t="n"/>
      <c r="O114" s="2" t="n"/>
      <c r="P114" s="2" t="inlineStr">
        <is>
          <t>LISTED</t>
        </is>
      </c>
      <c r="Q114" s="2" t="n"/>
      <c r="R114" s="2" t="n"/>
      <c r="S114" s="2" t="n">
        <v>33.60699653832411</v>
      </c>
      <c r="T114" s="2" t="n">
        <v>-7.630202534325644</v>
      </c>
      <c r="U114" s="3" t="n">
        <v>9089</v>
      </c>
      <c r="V114" s="2" t="inlineStr"/>
      <c r="W114" s="6" t="inlineStr">
        <is>
          <t>https://yakeey.com/fr-ma/achat/biens/138702</t>
        </is>
      </c>
    </row>
    <row r="115">
      <c r="A115" t="inlineStr">
        <is>
          <t>138822</t>
        </is>
      </c>
      <c r="B115" t="inlineStr">
        <is>
          <t>APARTMENT</t>
        </is>
      </c>
      <c r="C115" t="inlineStr">
        <is>
          <t>Bachkou</t>
        </is>
      </c>
      <c r="D115" t="inlineStr">
        <is>
          <t>Casablanca</t>
        </is>
      </c>
      <c r="E115" s="7" t="n">
        <v>1850000</v>
      </c>
      <c r="F115" s="8" t="n">
        <v>105</v>
      </c>
      <c r="G115" s="8" t="n"/>
      <c r="H115" s="8" t="n"/>
      <c r="I115" s="9">
        <f>IFERROR(E115/F115,"")</f>
        <v/>
      </c>
      <c r="J115" t="n">
        <v>2</v>
      </c>
      <c r="K115" t="n">
        <v>2</v>
      </c>
      <c r="P115" t="inlineStr">
        <is>
          <t>LISTED</t>
        </is>
      </c>
      <c r="S115" t="n">
        <v>33.5561767559747</v>
      </c>
      <c r="T115" t="n">
        <v>-7.627368784135213</v>
      </c>
      <c r="U115" s="7" t="n">
        <v>10643</v>
      </c>
      <c r="V115" t="inlineStr"/>
      <c r="W115" s="10" t="inlineStr">
        <is>
          <t>https://yakeey.com/fr-ma/achat/biens/138822</t>
        </is>
      </c>
    </row>
    <row r="116">
      <c r="A116" s="2" t="inlineStr">
        <is>
          <t>138965</t>
        </is>
      </c>
      <c r="B116" s="2" t="inlineStr">
        <is>
          <t>APARTMENT</t>
        </is>
      </c>
      <c r="C116" s="2" t="inlineStr">
        <is>
          <t>El Hank</t>
        </is>
      </c>
      <c r="D116" s="2" t="inlineStr">
        <is>
          <t>Casablanca</t>
        </is>
      </c>
      <c r="E116" s="3" t="n">
        <v>1200000</v>
      </c>
      <c r="F116" s="4" t="n">
        <v>98</v>
      </c>
      <c r="G116" s="4" t="n"/>
      <c r="H116" s="4" t="n"/>
      <c r="I116" s="5">
        <f>IFERROR(E116/F116,"")</f>
        <v/>
      </c>
      <c r="J116" s="2" t="n">
        <v>2</v>
      </c>
      <c r="K116" s="2" t="n">
        <v>1</v>
      </c>
      <c r="L116" s="2" t="n"/>
      <c r="M116" s="2" t="n"/>
      <c r="N116" s="2" t="n"/>
      <c r="O116" s="2" t="n"/>
      <c r="P116" s="2" t="inlineStr">
        <is>
          <t>LISTED</t>
        </is>
      </c>
      <c r="Q116" s="2" t="n"/>
      <c r="R116" s="2" t="n"/>
      <c r="S116" s="2" t="n">
        <v>33.60046550748975</v>
      </c>
      <c r="T116" s="2" t="n">
        <v>-7.651714145815418</v>
      </c>
      <c r="U116" s="3" t="n">
        <v>6903</v>
      </c>
      <c r="V116" s="2" t="inlineStr"/>
      <c r="W116" s="6" t="inlineStr">
        <is>
          <t>https://yakeey.com/fr-ma/achat/biens/138965</t>
        </is>
      </c>
    </row>
    <row r="117">
      <c r="A117" t="inlineStr">
        <is>
          <t>138982</t>
        </is>
      </c>
      <c r="B117" t="inlineStr">
        <is>
          <t>APARTMENT</t>
        </is>
      </c>
      <c r="C117" t="inlineStr">
        <is>
          <t>Triangle D'Or</t>
        </is>
      </c>
      <c r="D117" t="inlineStr">
        <is>
          <t>Casablanca</t>
        </is>
      </c>
      <c r="E117" s="7" t="n">
        <v>4000000</v>
      </c>
      <c r="F117" s="8" t="n">
        <v>273</v>
      </c>
      <c r="G117" s="8" t="n"/>
      <c r="H117" s="8" t="n"/>
      <c r="I117" s="9">
        <f>IFERROR(E117/F117,"")</f>
        <v/>
      </c>
      <c r="J117" t="n">
        <v>3</v>
      </c>
      <c r="K117" t="n">
        <v>2</v>
      </c>
      <c r="P117" t="inlineStr">
        <is>
          <t>LISTED</t>
        </is>
      </c>
      <c r="S117" t="n">
        <v>33.58834998686842</v>
      </c>
      <c r="T117" t="n">
        <v>-7.635784133683681</v>
      </c>
      <c r="U117" s="7" t="n">
        <v>23012</v>
      </c>
      <c r="V117" t="inlineStr"/>
      <c r="W117" s="10" t="inlineStr">
        <is>
          <t>https://yakeey.com/fr-ma/achat/biens/138982</t>
        </is>
      </c>
    </row>
    <row r="118">
      <c r="A118" s="2" t="inlineStr">
        <is>
          <t>139010</t>
        </is>
      </c>
      <c r="B118" s="2" t="inlineStr">
        <is>
          <t>APARTMENT</t>
        </is>
      </c>
      <c r="C118" s="2" t="inlineStr">
        <is>
          <t>Bourgogne (Sidi Belyout)</t>
        </is>
      </c>
      <c r="D118" s="2" t="inlineStr">
        <is>
          <t>Casablanca</t>
        </is>
      </c>
      <c r="E118" s="3" t="n">
        <v>2500000</v>
      </c>
      <c r="F118" s="4" t="n">
        <v>153</v>
      </c>
      <c r="G118" s="4" t="n"/>
      <c r="H118" s="4" t="n"/>
      <c r="I118" s="5">
        <f>IFERROR(E118/F118,"")</f>
        <v/>
      </c>
      <c r="J118" s="2" t="n">
        <v>3</v>
      </c>
      <c r="K118" s="2" t="n">
        <v>3</v>
      </c>
      <c r="L118" s="2" t="n"/>
      <c r="M118" s="2" t="n"/>
      <c r="N118" s="2" t="n"/>
      <c r="O118" s="2" t="n"/>
      <c r="P118" s="2" t="inlineStr">
        <is>
          <t>LISTED</t>
        </is>
      </c>
      <c r="Q118" s="2" t="n"/>
      <c r="R118" s="2" t="n"/>
      <c r="S118" s="2" t="n">
        <v>33.59244730381261</v>
      </c>
      <c r="T118" s="2" t="n">
        <v>-7.636482861121817</v>
      </c>
      <c r="U118" s="3" t="n">
        <v>14382</v>
      </c>
      <c r="V118" s="2" t="inlineStr"/>
      <c r="W118" s="6" t="inlineStr">
        <is>
          <t>https://yakeey.com/fr-ma/achat/biens/139010</t>
        </is>
      </c>
    </row>
    <row r="119">
      <c r="A119" t="inlineStr">
        <is>
          <t>139105</t>
        </is>
      </c>
      <c r="B119" t="inlineStr">
        <is>
          <t>APARTMENT</t>
        </is>
      </c>
      <c r="C119" t="inlineStr">
        <is>
          <t>Ibn Tachfine</t>
        </is>
      </c>
      <c r="D119" t="inlineStr">
        <is>
          <t>Casablanca</t>
        </is>
      </c>
      <c r="E119" s="7" t="n">
        <v>1120000</v>
      </c>
      <c r="F119" s="8" t="n">
        <v>107</v>
      </c>
      <c r="G119" s="8" t="n"/>
      <c r="H119" s="8" t="n"/>
      <c r="I119" s="9">
        <f>IFERROR(E119/F119,"")</f>
        <v/>
      </c>
      <c r="J119" t="n">
        <v>3</v>
      </c>
      <c r="K119" t="n">
        <v>2</v>
      </c>
      <c r="P119" t="inlineStr">
        <is>
          <t>LISTED</t>
        </is>
      </c>
      <c r="S119" t="n">
        <v>33.58541756491233</v>
      </c>
      <c r="T119" t="n">
        <v>-7.590869421409965</v>
      </c>
      <c r="U119" s="7" t="n">
        <v>6443</v>
      </c>
      <c r="V119" t="inlineStr"/>
      <c r="W119" s="10" t="inlineStr">
        <is>
          <t>https://yakeey.com/fr-ma/achat/biens/139105</t>
        </is>
      </c>
    </row>
    <row r="120">
      <c r="A120" s="2" t="inlineStr">
        <is>
          <t>139478</t>
        </is>
      </c>
      <c r="B120" s="2" t="inlineStr">
        <is>
          <t>APARTMENT</t>
        </is>
      </c>
      <c r="C120" s="2" t="inlineStr">
        <is>
          <t>Hopitaux</t>
        </is>
      </c>
      <c r="D120" s="2" t="inlineStr">
        <is>
          <t>Casablanca</t>
        </is>
      </c>
      <c r="E120" s="3" t="n">
        <v>1680000</v>
      </c>
      <c r="F120" s="4" t="n">
        <v>129</v>
      </c>
      <c r="G120" s="4" t="n"/>
      <c r="H120" s="4" t="n"/>
      <c r="I120" s="5">
        <f>IFERROR(E120/F120,"")</f>
        <v/>
      </c>
      <c r="J120" s="2" t="n">
        <v>3</v>
      </c>
      <c r="K120" s="2" t="n">
        <v>2</v>
      </c>
      <c r="L120" s="2" t="n"/>
      <c r="M120" s="2" t="n"/>
      <c r="N120" s="2" t="n"/>
      <c r="O120" s="2" t="n"/>
      <c r="P120" s="2" t="inlineStr">
        <is>
          <t>LISTED</t>
        </is>
      </c>
      <c r="Q120" s="2" t="n"/>
      <c r="R120" s="2" t="n"/>
      <c r="S120" s="2" t="n">
        <v>33.54506320399724</v>
      </c>
      <c r="T120" s="2" t="n">
        <v>-7.602224086817236</v>
      </c>
      <c r="U120" s="3" t="n">
        <v>9665</v>
      </c>
      <c r="V120" s="2" t="inlineStr"/>
      <c r="W120" s="6" t="inlineStr">
        <is>
          <t>https://yakeey.com/fr-ma/achat/biens/139478</t>
        </is>
      </c>
    </row>
    <row r="121">
      <c r="A121" t="inlineStr">
        <is>
          <t>139779</t>
        </is>
      </c>
      <c r="B121" t="inlineStr">
        <is>
          <t>APARTMENT</t>
        </is>
      </c>
      <c r="C121" t="inlineStr">
        <is>
          <t>Hay Riad</t>
        </is>
      </c>
      <c r="D121" t="inlineStr">
        <is>
          <t>Bouznika</t>
        </is>
      </c>
      <c r="E121" s="7" t="n">
        <v>680000</v>
      </c>
      <c r="F121" s="8" t="n">
        <v>70</v>
      </c>
      <c r="G121" s="8" t="n"/>
      <c r="H121" s="8" t="n"/>
      <c r="I121" s="9">
        <f>IFERROR(E121/F121,"")</f>
        <v/>
      </c>
      <c r="J121" t="n">
        <v>2</v>
      </c>
      <c r="K121" t="n">
        <v>1</v>
      </c>
      <c r="P121" t="inlineStr">
        <is>
          <t>LISTED</t>
        </is>
      </c>
      <c r="S121" t="n">
        <v>33.7789572312174</v>
      </c>
      <c r="T121" t="n">
        <v>-7.160341649728331</v>
      </c>
      <c r="U121" s="7" t="n">
        <v>3912</v>
      </c>
      <c r="V121" t="inlineStr"/>
      <c r="W121" s="10" t="inlineStr">
        <is>
          <t>https://yakeey.com/fr-ma/achat/biens/139779</t>
        </is>
      </c>
    </row>
    <row r="122">
      <c r="A122" s="2" t="inlineStr">
        <is>
          <t>139813</t>
        </is>
      </c>
      <c r="B122" s="2" t="inlineStr">
        <is>
          <t>APARTMENT</t>
        </is>
      </c>
      <c r="C122" s="2" t="inlineStr">
        <is>
          <t>Almaz (Hay Hassani)</t>
        </is>
      </c>
      <c r="D122" s="2" t="inlineStr">
        <is>
          <t>Casablanca</t>
        </is>
      </c>
      <c r="E122" s="3" t="n">
        <v>1300000</v>
      </c>
      <c r="F122" s="4" t="n">
        <v>113</v>
      </c>
      <c r="G122" s="4" t="n"/>
      <c r="H122" s="4" t="n"/>
      <c r="I122" s="5">
        <f>IFERROR(E122/F122,"")</f>
        <v/>
      </c>
      <c r="J122" s="2" t="n">
        <v>2</v>
      </c>
      <c r="K122" s="2" t="n">
        <v>1</v>
      </c>
      <c r="L122" s="2" t="n"/>
      <c r="M122" s="2" t="n"/>
      <c r="N122" s="2" t="n"/>
      <c r="O122" s="2" t="n"/>
      <c r="P122" s="2" t="inlineStr">
        <is>
          <t>LISTED</t>
        </is>
      </c>
      <c r="Q122" s="2" t="n"/>
      <c r="R122" s="2" t="n"/>
      <c r="S122" s="2" t="n">
        <v>33.50988553493196</v>
      </c>
      <c r="T122" s="2" t="n">
        <v>-7.682003101689818</v>
      </c>
      <c r="U122" s="3" t="n">
        <v>7478</v>
      </c>
      <c r="V122" s="2" t="inlineStr"/>
      <c r="W122" s="6" t="inlineStr">
        <is>
          <t>https://yakeey.com/fr-ma/achat/biens/139813</t>
        </is>
      </c>
    </row>
    <row r="123">
      <c r="A123" t="inlineStr">
        <is>
          <t>140202</t>
        </is>
      </c>
      <c r="B123" t="inlineStr">
        <is>
          <t>APARTMENT</t>
        </is>
      </c>
      <c r="C123" t="inlineStr">
        <is>
          <t>Oulfa</t>
        </is>
      </c>
      <c r="D123" t="inlineStr">
        <is>
          <t>Casablanca</t>
        </is>
      </c>
      <c r="E123" s="7" t="n">
        <v>400000</v>
      </c>
      <c r="F123" s="8" t="n">
        <v>47</v>
      </c>
      <c r="G123" s="8" t="n"/>
      <c r="H123" s="8" t="n"/>
      <c r="I123" s="9">
        <f>IFERROR(E123/F123,"")</f>
        <v/>
      </c>
      <c r="J123" t="n">
        <v>3</v>
      </c>
      <c r="K123" t="n">
        <v>1</v>
      </c>
      <c r="P123" t="inlineStr">
        <is>
          <t>LISTED</t>
        </is>
      </c>
      <c r="S123" t="n">
        <v>33.53940295175996</v>
      </c>
      <c r="T123" t="n">
        <v>-7.697248557762762</v>
      </c>
      <c r="U123" s="7" t="n">
        <v>2301</v>
      </c>
      <c r="V123" t="inlineStr"/>
      <c r="W123" s="10" t="inlineStr">
        <is>
          <t>https://yakeey.com/fr-ma/achat/biens/140202</t>
        </is>
      </c>
    </row>
    <row r="124">
      <c r="A124" s="2" t="inlineStr">
        <is>
          <t>140785</t>
        </is>
      </c>
      <c r="B124" s="2" t="inlineStr">
        <is>
          <t>APARTMENT</t>
        </is>
      </c>
      <c r="C124" s="2" t="inlineStr">
        <is>
          <t>Beausejour</t>
        </is>
      </c>
      <c r="D124" s="2" t="inlineStr">
        <is>
          <t>Casablanca</t>
        </is>
      </c>
      <c r="E124" s="3" t="n">
        <v>2000000</v>
      </c>
      <c r="F124" s="4" t="n">
        <v>146</v>
      </c>
      <c r="G124" s="4" t="n"/>
      <c r="H124" s="4" t="n"/>
      <c r="I124" s="5">
        <f>IFERROR(E124/F124,"")</f>
        <v/>
      </c>
      <c r="J124" s="2" t="n">
        <v>3</v>
      </c>
      <c r="K124" s="2" t="n">
        <v>1</v>
      </c>
      <c r="L124" s="2" t="n"/>
      <c r="M124" s="2" t="n"/>
      <c r="N124" s="2" t="n"/>
      <c r="O124" s="2" t="n"/>
      <c r="P124" s="2" t="inlineStr">
        <is>
          <t>LISTED</t>
        </is>
      </c>
      <c r="Q124" s="2" t="n"/>
      <c r="R124" s="2" t="n"/>
      <c r="S124" s="2" t="n">
        <v>33.57018551187382</v>
      </c>
      <c r="T124" s="2" t="n">
        <v>-7.649405267596348</v>
      </c>
      <c r="U124" s="3" t="n">
        <v>11506</v>
      </c>
      <c r="V124" s="2" t="inlineStr"/>
      <c r="W124" s="6" t="inlineStr">
        <is>
          <t>https://yakeey.com/fr-ma/achat/biens/140785</t>
        </is>
      </c>
    </row>
    <row r="125">
      <c r="A125" t="inlineStr">
        <is>
          <t>140866</t>
        </is>
      </c>
      <c r="B125" t="inlineStr">
        <is>
          <t>APARTMENT</t>
        </is>
      </c>
      <c r="C125" t="inlineStr">
        <is>
          <t>Hopitaux</t>
        </is>
      </c>
      <c r="D125" t="inlineStr">
        <is>
          <t>Casablanca</t>
        </is>
      </c>
      <c r="E125" s="7" t="n">
        <v>860000</v>
      </c>
      <c r="F125" s="8" t="n">
        <v>54</v>
      </c>
      <c r="G125" s="8" t="n"/>
      <c r="H125" s="8" t="n"/>
      <c r="I125" s="9">
        <f>IFERROR(E125/F125,"")</f>
        <v/>
      </c>
      <c r="J125" t="n">
        <v>1</v>
      </c>
      <c r="K125" t="n">
        <v>1</v>
      </c>
      <c r="P125" t="inlineStr">
        <is>
          <t>LISTED</t>
        </is>
      </c>
      <c r="S125" t="n">
        <v>33.58156192434351</v>
      </c>
      <c r="T125" t="n">
        <v>-7.617466467520056</v>
      </c>
      <c r="U125" s="7" t="n">
        <v>4947</v>
      </c>
      <c r="V125" t="inlineStr"/>
      <c r="W125" s="10" t="inlineStr">
        <is>
          <t>https://yakeey.com/fr-ma/achat/biens/140866</t>
        </is>
      </c>
    </row>
    <row r="126">
      <c r="A126" s="2" t="inlineStr">
        <is>
          <t>141458</t>
        </is>
      </c>
      <c r="B126" s="2" t="inlineStr">
        <is>
          <t>APARTMENT</t>
        </is>
      </c>
      <c r="C126" s="2" t="inlineStr">
        <is>
          <t>Gauthier</t>
        </is>
      </c>
      <c r="D126" s="2" t="inlineStr">
        <is>
          <t>Casablanca</t>
        </is>
      </c>
      <c r="E126" s="3" t="n">
        <v>4500000</v>
      </c>
      <c r="F126" s="4" t="n">
        <v>221</v>
      </c>
      <c r="G126" s="4" t="n"/>
      <c r="H126" s="4" t="n"/>
      <c r="I126" s="5">
        <f>IFERROR(E126/F126,"")</f>
        <v/>
      </c>
      <c r="J126" s="2" t="n">
        <v>3</v>
      </c>
      <c r="K126" s="2" t="n">
        <v>2</v>
      </c>
      <c r="L126" s="2" t="n"/>
      <c r="M126" s="2" t="n"/>
      <c r="N126" s="2" t="n"/>
      <c r="O126" s="2" t="n"/>
      <c r="P126" s="2" t="inlineStr">
        <is>
          <t>LISTED</t>
        </is>
      </c>
      <c r="Q126" s="2" t="n"/>
      <c r="R126" s="2" t="n"/>
      <c r="S126" s="2" t="n">
        <v>33.58980343908397</v>
      </c>
      <c r="T126" s="2" t="n">
        <v>-7.630777263480975</v>
      </c>
      <c r="U126" s="3" t="n">
        <v>25888</v>
      </c>
      <c r="V126" s="2" t="inlineStr"/>
      <c r="W126" s="6" t="inlineStr">
        <is>
          <t>https://yakeey.com/fr-ma/achat/biens/141458</t>
        </is>
      </c>
    </row>
    <row r="127">
      <c r="A127" t="inlineStr">
        <is>
          <t>141669</t>
        </is>
      </c>
      <c r="B127" t="inlineStr">
        <is>
          <t>APARTMENT</t>
        </is>
      </c>
      <c r="C127" t="inlineStr">
        <is>
          <t>Belvedere (Roches Noires)</t>
        </is>
      </c>
      <c r="D127" t="inlineStr">
        <is>
          <t>Casablanca</t>
        </is>
      </c>
      <c r="E127" s="7" t="n">
        <v>1570000</v>
      </c>
      <c r="F127" s="8" t="n">
        <v>160</v>
      </c>
      <c r="G127" s="8" t="n"/>
      <c r="H127" s="8" t="n"/>
      <c r="I127" s="9">
        <f>IFERROR(E127/F127,"")</f>
        <v/>
      </c>
      <c r="J127" t="n">
        <v>3</v>
      </c>
      <c r="K127" t="n">
        <v>2</v>
      </c>
      <c r="P127" t="inlineStr">
        <is>
          <t>LISTED</t>
        </is>
      </c>
      <c r="S127" t="n">
        <v>33.59396895202325</v>
      </c>
      <c r="T127" t="n">
        <v>-7.597926716513801</v>
      </c>
      <c r="U127" s="7" t="n">
        <v>9032</v>
      </c>
      <c r="V127" t="inlineStr"/>
      <c r="W127" s="10" t="inlineStr">
        <is>
          <t>https://yakeey.com/fr-ma/achat/biens/141669</t>
        </is>
      </c>
    </row>
    <row r="128">
      <c r="A128" s="2" t="inlineStr">
        <is>
          <t>141754</t>
        </is>
      </c>
      <c r="B128" s="2" t="inlineStr">
        <is>
          <t>APARTMENT</t>
        </is>
      </c>
      <c r="C128" s="2" t="inlineStr">
        <is>
          <t>Sidi Bernoussi</t>
        </is>
      </c>
      <c r="D128" s="2" t="inlineStr">
        <is>
          <t>Casablanca</t>
        </is>
      </c>
      <c r="E128" s="3" t="n">
        <v>680000</v>
      </c>
      <c r="F128" s="4" t="n">
        <v>83</v>
      </c>
      <c r="G128" s="4" t="n"/>
      <c r="H128" s="4" t="n"/>
      <c r="I128" s="5">
        <f>IFERROR(E128/F128,"")</f>
        <v/>
      </c>
      <c r="J128" s="2" t="n">
        <v>2</v>
      </c>
      <c r="K128" s="2" t="n">
        <v>1</v>
      </c>
      <c r="L128" s="2" t="n"/>
      <c r="M128" s="2" t="n"/>
      <c r="N128" s="2" t="n"/>
      <c r="O128" s="2" t="n"/>
      <c r="P128" s="2" t="inlineStr">
        <is>
          <t>LISTED</t>
        </is>
      </c>
      <c r="Q128" s="2" t="n"/>
      <c r="R128" s="2" t="n"/>
      <c r="S128" s="2" t="n">
        <v>33.61563649670951</v>
      </c>
      <c r="T128" s="2" t="n">
        <v>-7.485150539021776</v>
      </c>
      <c r="U128" s="3" t="n">
        <v>3912</v>
      </c>
      <c r="V128" s="2" t="inlineStr"/>
      <c r="W128" s="6" t="inlineStr">
        <is>
          <t>https://yakeey.com/fr-ma/achat/biens/141754</t>
        </is>
      </c>
    </row>
    <row r="129">
      <c r="A129" t="inlineStr">
        <is>
          <t>14186</t>
        </is>
      </c>
      <c r="B129" t="inlineStr">
        <is>
          <t>APARTMENT</t>
        </is>
      </c>
      <c r="C129" t="inlineStr">
        <is>
          <t>Nassim</t>
        </is>
      </c>
      <c r="D129" t="inlineStr">
        <is>
          <t>Casablanca</t>
        </is>
      </c>
      <c r="E129" s="7" t="n">
        <v>1400000</v>
      </c>
      <c r="F129" s="8" t="n">
        <v>113</v>
      </c>
      <c r="G129" s="8" t="n"/>
      <c r="H129" s="8" t="n"/>
      <c r="I129" s="9">
        <f>IFERROR(E129/F129,"")</f>
        <v/>
      </c>
      <c r="J129" t="n">
        <v>3</v>
      </c>
      <c r="K129" t="n">
        <v>2</v>
      </c>
      <c r="P129" t="inlineStr">
        <is>
          <t>LISTED</t>
        </is>
      </c>
      <c r="S129" t="n">
        <v>33.51617451105065</v>
      </c>
      <c r="T129" t="n">
        <v>-7.669970347413959</v>
      </c>
      <c r="U129" s="7" t="n">
        <v>8054</v>
      </c>
      <c r="V129" t="inlineStr"/>
      <c r="W129" s="10" t="inlineStr">
        <is>
          <t>https://yakeey.com/fr-ma/achat/biens/14186</t>
        </is>
      </c>
    </row>
    <row r="130">
      <c r="A130" s="2" t="inlineStr">
        <is>
          <t>142459</t>
        </is>
      </c>
      <c r="B130" s="2" t="inlineStr">
        <is>
          <t>APARTMENT</t>
        </is>
      </c>
      <c r="C130" s="2" t="inlineStr">
        <is>
          <t>Les Princesses</t>
        </is>
      </c>
      <c r="D130" s="2" t="inlineStr">
        <is>
          <t>Casablanca</t>
        </is>
      </c>
      <c r="E130" s="3" t="n">
        <v>2600000</v>
      </c>
      <c r="F130" s="4" t="n">
        <v>166</v>
      </c>
      <c r="G130" s="4" t="n"/>
      <c r="H130" s="4" t="n"/>
      <c r="I130" s="5">
        <f>IFERROR(E130/F130,"")</f>
        <v/>
      </c>
      <c r="J130" s="2" t="n">
        <v>3</v>
      </c>
      <c r="K130" s="2" t="n">
        <v>2</v>
      </c>
      <c r="L130" s="2" t="n"/>
      <c r="M130" s="2" t="n"/>
      <c r="N130" s="2" t="n"/>
      <c r="O130" s="2" t="n"/>
      <c r="P130" s="2" t="inlineStr">
        <is>
          <t>LISTED</t>
        </is>
      </c>
      <c r="Q130" s="2" t="n"/>
      <c r="R130" s="2" t="n"/>
      <c r="S130" s="2" t="n">
        <v>33.57596169168194</v>
      </c>
      <c r="T130" s="2" t="n">
        <v>-7.649151926727765</v>
      </c>
      <c r="U130" s="3" t="n">
        <v>14957</v>
      </c>
      <c r="V130" s="2" t="inlineStr"/>
      <c r="W130" s="6" t="inlineStr">
        <is>
          <t>https://yakeey.com/fr-ma/achat/biens/142459</t>
        </is>
      </c>
    </row>
    <row r="131">
      <c r="A131" t="inlineStr">
        <is>
          <t>142572</t>
        </is>
      </c>
      <c r="B131" t="inlineStr">
        <is>
          <t>APARTMENT</t>
        </is>
      </c>
      <c r="C131" t="inlineStr">
        <is>
          <t>Lekrimat</t>
        </is>
      </c>
      <c r="D131" t="inlineStr">
        <is>
          <t>Casablanca</t>
        </is>
      </c>
      <c r="E131" s="7" t="n">
        <v>1699000</v>
      </c>
      <c r="F131" s="8" t="n">
        <v>144</v>
      </c>
      <c r="G131" s="8" t="n"/>
      <c r="H131" s="8" t="n"/>
      <c r="I131" s="9">
        <f>IFERROR(E131/F131,"")</f>
        <v/>
      </c>
      <c r="J131" t="n">
        <v>2</v>
      </c>
      <c r="K131" t="n">
        <v>2</v>
      </c>
      <c r="P131" t="inlineStr">
        <is>
          <t>LISTED</t>
        </is>
      </c>
      <c r="S131" t="n">
        <v>33.53877509513451</v>
      </c>
      <c r="T131" t="n">
        <v>-7.611635515724638</v>
      </c>
      <c r="U131" s="7" t="n">
        <v>9774</v>
      </c>
      <c r="V131" t="inlineStr"/>
      <c r="W131" s="10" t="inlineStr">
        <is>
          <t>https://yakeey.com/fr-ma/achat/biens/142572</t>
        </is>
      </c>
    </row>
    <row r="132">
      <c r="A132" s="2" t="inlineStr">
        <is>
          <t>142591</t>
        </is>
      </c>
      <c r="B132" s="2" t="inlineStr">
        <is>
          <t>APARTMENT</t>
        </is>
      </c>
      <c r="C132" s="2" t="inlineStr">
        <is>
          <t>Sidi Abderrahman</t>
        </is>
      </c>
      <c r="D132" s="2" t="inlineStr">
        <is>
          <t>Casablanca</t>
        </is>
      </c>
      <c r="E132" s="3" t="n">
        <v>1950000</v>
      </c>
      <c r="F132" s="4" t="n">
        <v>121</v>
      </c>
      <c r="G132" s="4" t="n"/>
      <c r="H132" s="4" t="n"/>
      <c r="I132" s="5">
        <f>IFERROR(E132/F132,"")</f>
        <v/>
      </c>
      <c r="J132" s="2" t="n">
        <v>3</v>
      </c>
      <c r="K132" s="2" t="n">
        <v>2</v>
      </c>
      <c r="L132" s="2" t="n"/>
      <c r="M132" s="2" t="n"/>
      <c r="N132" s="2" t="n"/>
      <c r="O132" s="2" t="n"/>
      <c r="P132" s="2" t="inlineStr">
        <is>
          <t>LISTED</t>
        </is>
      </c>
      <c r="Q132" s="2" t="n"/>
      <c r="R132" s="2" t="n"/>
      <c r="S132" s="2" t="n">
        <v>33.57058340780578</v>
      </c>
      <c r="T132" s="2" t="n">
        <v>-7.664318239376925</v>
      </c>
      <c r="U132" s="3" t="n">
        <v>11218</v>
      </c>
      <c r="V132" s="2" t="inlineStr"/>
      <c r="W132" s="6" t="inlineStr">
        <is>
          <t>https://yakeey.com/fr-ma/achat/biens/142591</t>
        </is>
      </c>
    </row>
    <row r="133">
      <c r="A133" t="inlineStr">
        <is>
          <t>142605</t>
        </is>
      </c>
      <c r="B133" t="inlineStr">
        <is>
          <t>APARTMENT</t>
        </is>
      </c>
      <c r="C133" t="inlineStr">
        <is>
          <t>Beausejour</t>
        </is>
      </c>
      <c r="D133" t="inlineStr">
        <is>
          <t>Casablanca</t>
        </is>
      </c>
      <c r="E133" s="7" t="n">
        <v>1700000</v>
      </c>
      <c r="F133" s="8" t="n">
        <v>164</v>
      </c>
      <c r="G133" s="8" t="n"/>
      <c r="H133" s="8" t="n"/>
      <c r="I133" s="9">
        <f>IFERROR(E133/F133,"")</f>
        <v/>
      </c>
      <c r="J133" t="n">
        <v>3</v>
      </c>
      <c r="K133" t="n">
        <v>2</v>
      </c>
      <c r="P133" t="inlineStr">
        <is>
          <t>LISTED</t>
        </is>
      </c>
      <c r="S133" t="n">
        <v>33.57067279719581</v>
      </c>
      <c r="T133" t="n">
        <v>-7.647022324809787</v>
      </c>
      <c r="U133" s="7" t="n">
        <v>9780</v>
      </c>
      <c r="V133" t="inlineStr"/>
      <c r="W133" s="10" t="inlineStr">
        <is>
          <t>https://yakeey.com/fr-ma/achat/biens/142605</t>
        </is>
      </c>
    </row>
    <row r="134">
      <c r="A134" s="2" t="inlineStr">
        <is>
          <t>142861</t>
        </is>
      </c>
      <c r="B134" s="2" t="inlineStr">
        <is>
          <t>APARTMENT</t>
        </is>
      </c>
      <c r="C134" s="2" t="inlineStr">
        <is>
          <t>Les Princesses</t>
        </is>
      </c>
      <c r="D134" s="2" t="inlineStr">
        <is>
          <t>Casablanca</t>
        </is>
      </c>
      <c r="E134" s="3" t="n">
        <v>2300000</v>
      </c>
      <c r="F134" s="4" t="n">
        <v>156</v>
      </c>
      <c r="G134" s="4" t="n"/>
      <c r="H134" s="4" t="n"/>
      <c r="I134" s="5">
        <f>IFERROR(E134/F134,"")</f>
        <v/>
      </c>
      <c r="J134" s="2" t="n">
        <v>2</v>
      </c>
      <c r="K134" s="2" t="n">
        <v>2</v>
      </c>
      <c r="L134" s="2" t="n"/>
      <c r="M134" s="2" t="n"/>
      <c r="N134" s="2" t="n"/>
      <c r="O134" s="2" t="n"/>
      <c r="P134" s="2" t="inlineStr">
        <is>
          <t>LISTED</t>
        </is>
      </c>
      <c r="Q134" s="2" t="n"/>
      <c r="R134" s="2" t="n"/>
      <c r="S134" s="2" t="n">
        <v>33.57639863196851</v>
      </c>
      <c r="T134" s="2" t="n">
        <v>-7.647278593456792</v>
      </c>
      <c r="U134" s="3" t="n">
        <v>13232</v>
      </c>
      <c r="V134" s="2" t="inlineStr"/>
      <c r="W134" s="6" t="inlineStr">
        <is>
          <t>https://yakeey.com/fr-ma/achat/biens/142861</t>
        </is>
      </c>
    </row>
    <row r="135">
      <c r="A135" t="inlineStr">
        <is>
          <t>142873</t>
        </is>
      </c>
      <c r="B135" t="inlineStr">
        <is>
          <t>APARTMENT</t>
        </is>
      </c>
      <c r="C135" t="inlineStr">
        <is>
          <t>Maarif Extension</t>
        </is>
      </c>
      <c r="D135" t="inlineStr">
        <is>
          <t>Casablanca</t>
        </is>
      </c>
      <c r="E135" s="7" t="n">
        <v>1350000</v>
      </c>
      <c r="F135" s="8" t="n">
        <v>91</v>
      </c>
      <c r="G135" s="8" t="n"/>
      <c r="H135" s="8" t="n"/>
      <c r="I135" s="9">
        <f>IFERROR(E135/F135,"")</f>
        <v/>
      </c>
      <c r="J135" t="n">
        <v>2</v>
      </c>
      <c r="K135" t="n">
        <v>1</v>
      </c>
      <c r="P135" t="inlineStr">
        <is>
          <t>LISTED</t>
        </is>
      </c>
      <c r="S135" t="n">
        <v>33.57924466869813</v>
      </c>
      <c r="T135" t="n">
        <v>-7.644120341605042</v>
      </c>
      <c r="U135" s="7" t="n">
        <v>7766</v>
      </c>
      <c r="V135" t="inlineStr"/>
      <c r="W135" s="10" t="inlineStr">
        <is>
          <t>https://yakeey.com/fr-ma/achat/biens/142873</t>
        </is>
      </c>
    </row>
    <row r="136">
      <c r="A136" s="2" t="inlineStr">
        <is>
          <t>143017</t>
        </is>
      </c>
      <c r="B136" s="2" t="inlineStr">
        <is>
          <t>APARTMENT</t>
        </is>
      </c>
      <c r="C136" s="2" t="inlineStr">
        <is>
          <t>Derb Ghalef</t>
        </is>
      </c>
      <c r="D136" s="2" t="inlineStr">
        <is>
          <t>Casablanca</t>
        </is>
      </c>
      <c r="E136" s="3" t="n">
        <v>1020000</v>
      </c>
      <c r="F136" s="4" t="n">
        <v>80</v>
      </c>
      <c r="G136" s="4" t="n"/>
      <c r="H136" s="4" t="n"/>
      <c r="I136" s="5">
        <f>IFERROR(E136/F136,"")</f>
        <v/>
      </c>
      <c r="J136" s="2" t="n">
        <v>2</v>
      </c>
      <c r="K136" s="2" t="n">
        <v>2</v>
      </c>
      <c r="L136" s="2" t="n"/>
      <c r="M136" s="2" t="n"/>
      <c r="N136" s="2" t="n"/>
      <c r="O136" s="2" t="n"/>
      <c r="P136" s="2" t="inlineStr">
        <is>
          <t>LISTED</t>
        </is>
      </c>
      <c r="Q136" s="2" t="n"/>
      <c r="R136" s="2" t="n"/>
      <c r="S136" s="2" t="n">
        <v>33.57614833686961</v>
      </c>
      <c r="T136" s="2" t="n">
        <v>-7.632680720733342</v>
      </c>
      <c r="U136" s="3" t="n">
        <v>5868</v>
      </c>
      <c r="V136" s="2" t="inlineStr"/>
      <c r="W136" s="6" t="inlineStr">
        <is>
          <t>https://yakeey.com/fr-ma/achat/biens/143017</t>
        </is>
      </c>
    </row>
    <row r="137">
      <c r="A137" t="inlineStr">
        <is>
          <t>144689</t>
        </is>
      </c>
      <c r="B137" t="inlineStr">
        <is>
          <t>APARTMENT</t>
        </is>
      </c>
      <c r="C137" t="inlineStr">
        <is>
          <t>Belvedere (Sidi Belyout)</t>
        </is>
      </c>
      <c r="D137" t="inlineStr">
        <is>
          <t>Casablanca</t>
        </is>
      </c>
      <c r="E137" s="7" t="n">
        <v>1500000</v>
      </c>
      <c r="F137" s="8" t="n">
        <v>135</v>
      </c>
      <c r="G137" s="8" t="n"/>
      <c r="H137" s="8" t="n"/>
      <c r="I137" s="9">
        <f>IFERROR(E137/F137,"")</f>
        <v/>
      </c>
      <c r="J137" t="n">
        <v>3</v>
      </c>
      <c r="K137" t="n">
        <v>1</v>
      </c>
      <c r="P137" t="inlineStr">
        <is>
          <t>LISTED</t>
        </is>
      </c>
      <c r="S137" t="n">
        <v>33.591214395684</v>
      </c>
      <c r="T137" t="n">
        <v>-7.5925447993067</v>
      </c>
      <c r="U137" s="7" t="n">
        <v>8629</v>
      </c>
      <c r="V137" t="inlineStr"/>
      <c r="W137" s="10" t="inlineStr">
        <is>
          <t>https://yakeey.com/fr-ma/achat/biens/144689</t>
        </is>
      </c>
    </row>
    <row r="138">
      <c r="A138" s="2" t="inlineStr">
        <is>
          <t>144891</t>
        </is>
      </c>
      <c r="B138" s="2" t="inlineStr">
        <is>
          <t>APARTMENT</t>
        </is>
      </c>
      <c r="C138" s="2" t="inlineStr">
        <is>
          <t>Belvedere (Roches Noires)</t>
        </is>
      </c>
      <c r="D138" s="2" t="inlineStr">
        <is>
          <t>Casablanca</t>
        </is>
      </c>
      <c r="E138" s="3" t="n">
        <v>1050000</v>
      </c>
      <c r="F138" s="4" t="n">
        <v>105</v>
      </c>
      <c r="G138" s="4" t="n"/>
      <c r="H138" s="4" t="n"/>
      <c r="I138" s="5">
        <f>IFERROR(E138/F138,"")</f>
        <v/>
      </c>
      <c r="J138" s="2" t="n">
        <v>2</v>
      </c>
      <c r="K138" s="2" t="n">
        <v>1</v>
      </c>
      <c r="L138" s="2" t="n"/>
      <c r="M138" s="2" t="n"/>
      <c r="N138" s="2" t="n"/>
      <c r="O138" s="2" t="n"/>
      <c r="P138" s="2" t="inlineStr">
        <is>
          <t>LISTED</t>
        </is>
      </c>
      <c r="Q138" s="2" t="n"/>
      <c r="R138" s="2" t="n"/>
      <c r="S138" s="2" t="n">
        <v>33.59611868562739</v>
      </c>
      <c r="T138" s="2" t="n">
        <v>-7.594536989720768</v>
      </c>
      <c r="U138" s="3" t="n">
        <v>6040</v>
      </c>
      <c r="V138" s="2" t="inlineStr"/>
      <c r="W138" s="6" t="inlineStr">
        <is>
          <t>https://yakeey.com/fr-ma/achat/biens/144891</t>
        </is>
      </c>
    </row>
    <row r="139">
      <c r="A139" t="inlineStr">
        <is>
          <t>145293</t>
        </is>
      </c>
      <c r="B139" t="inlineStr">
        <is>
          <t>APARTMENT</t>
        </is>
      </c>
      <c r="C139" t="inlineStr">
        <is>
          <t>Ain Diab Extension 2</t>
        </is>
      </c>
      <c r="D139" t="inlineStr">
        <is>
          <t>Casablanca</t>
        </is>
      </c>
      <c r="E139" s="7" t="n">
        <v>4000000</v>
      </c>
      <c r="F139" s="8" t="n">
        <v>189</v>
      </c>
      <c r="G139" s="8" t="n"/>
      <c r="H139" s="8" t="n"/>
      <c r="I139" s="9">
        <f>IFERROR(E139/F139,"")</f>
        <v/>
      </c>
      <c r="J139" t="n">
        <v>3</v>
      </c>
      <c r="K139" t="n">
        <v>2</v>
      </c>
      <c r="P139" t="inlineStr">
        <is>
          <t>LISTED</t>
        </is>
      </c>
      <c r="S139" t="n">
        <v>33.54839116207119</v>
      </c>
      <c r="T139" t="n">
        <v>-7.736737232334275</v>
      </c>
      <c r="U139" s="7" t="n">
        <v>23012</v>
      </c>
      <c r="V139" t="inlineStr"/>
      <c r="W139" s="10" t="inlineStr">
        <is>
          <t>https://yakeey.com/fr-ma/achat/biens/145293</t>
        </is>
      </c>
    </row>
    <row r="140">
      <c r="A140" s="2" t="inlineStr">
        <is>
          <t>145599</t>
        </is>
      </c>
      <c r="B140" s="2" t="inlineStr">
        <is>
          <t>APARTMENT</t>
        </is>
      </c>
      <c r="C140" s="2" t="inlineStr">
        <is>
          <t>Ibn Tachfine</t>
        </is>
      </c>
      <c r="D140" s="2" t="inlineStr">
        <is>
          <t>Casablanca</t>
        </is>
      </c>
      <c r="E140" s="3" t="n">
        <v>810000</v>
      </c>
      <c r="F140" s="4" t="n">
        <v>77</v>
      </c>
      <c r="G140" s="4" t="n"/>
      <c r="H140" s="4" t="n"/>
      <c r="I140" s="5">
        <f>IFERROR(E140/F140,"")</f>
        <v/>
      </c>
      <c r="J140" s="2" t="n">
        <v>2</v>
      </c>
      <c r="K140" s="2" t="n">
        <v>1</v>
      </c>
      <c r="L140" s="2" t="n"/>
      <c r="M140" s="2" t="n"/>
      <c r="N140" s="2" t="n"/>
      <c r="O140" s="2" t="n"/>
      <c r="P140" s="2" t="inlineStr">
        <is>
          <t>LISTED</t>
        </is>
      </c>
      <c r="Q140" s="2" t="n"/>
      <c r="R140" s="2" t="n"/>
      <c r="S140" s="2" t="n">
        <v>33.58713884086932</v>
      </c>
      <c r="T140" s="2" t="n">
        <v>-7.588395638355568</v>
      </c>
      <c r="U140" s="3" t="n">
        <v>4659</v>
      </c>
      <c r="V140" s="2" t="inlineStr"/>
      <c r="W140" s="6" t="inlineStr">
        <is>
          <t>https://yakeey.com/fr-ma/achat/biens/145599</t>
        </is>
      </c>
    </row>
    <row r="141">
      <c r="A141" t="inlineStr">
        <is>
          <t>145600</t>
        </is>
      </c>
      <c r="B141" t="inlineStr">
        <is>
          <t>APARTMENT</t>
        </is>
      </c>
      <c r="C141" t="inlineStr">
        <is>
          <t>Plateau</t>
        </is>
      </c>
      <c r="D141" t="inlineStr">
        <is>
          <t>Casablanca</t>
        </is>
      </c>
      <c r="E141" s="7" t="n">
        <v>2300000</v>
      </c>
      <c r="F141" s="8" t="n">
        <v>172</v>
      </c>
      <c r="G141" s="8" t="n"/>
      <c r="H141" s="8" t="n"/>
      <c r="I141" s="9">
        <f>IFERROR(E141/F141,"")</f>
        <v/>
      </c>
      <c r="J141" t="n">
        <v>3</v>
      </c>
      <c r="K141" t="n">
        <v>2</v>
      </c>
      <c r="P141" t="inlineStr">
        <is>
          <t>LISTED</t>
        </is>
      </c>
      <c r="S141" t="n">
        <v>33.57476908834317</v>
      </c>
      <c r="T141" t="n">
        <v>-7.63574538953804</v>
      </c>
      <c r="U141" s="7" t="n">
        <v>13232</v>
      </c>
      <c r="V141" t="inlineStr"/>
      <c r="W141" s="10" t="inlineStr">
        <is>
          <t>https://yakeey.com/fr-ma/achat/biens/145600</t>
        </is>
      </c>
    </row>
    <row r="142">
      <c r="A142" s="2" t="inlineStr">
        <is>
          <t>145701</t>
        </is>
      </c>
      <c r="B142" s="2" t="inlineStr">
        <is>
          <t>APARTMENT</t>
        </is>
      </c>
      <c r="C142" s="2" t="inlineStr">
        <is>
          <t>Tamaris2</t>
        </is>
      </c>
      <c r="D142" s="2" t="inlineStr">
        <is>
          <t>Dar Bouazza</t>
        </is>
      </c>
      <c r="E142" s="3" t="n">
        <v>1100000</v>
      </c>
      <c r="F142" s="4" t="n">
        <v>93</v>
      </c>
      <c r="G142" s="4" t="n"/>
      <c r="H142" s="4" t="n"/>
      <c r="I142" s="5">
        <f>IFERROR(E142/F142,"")</f>
        <v/>
      </c>
      <c r="J142" s="2" t="n">
        <v>2</v>
      </c>
      <c r="K142" s="2" t="n">
        <v>1</v>
      </c>
      <c r="L142" s="2" t="n"/>
      <c r="M142" s="2" t="n"/>
      <c r="N142" s="2" t="n"/>
      <c r="O142" s="2" t="n"/>
      <c r="P142" s="2" t="inlineStr">
        <is>
          <t>LISTED</t>
        </is>
      </c>
      <c r="Q142" s="2" t="n"/>
      <c r="R142" s="2" t="n"/>
      <c r="S142" s="2" t="n">
        <v>33.52205390390922</v>
      </c>
      <c r="T142" s="2" t="n">
        <v>-7.817820800985158</v>
      </c>
      <c r="U142" s="3" t="n">
        <v>6328</v>
      </c>
      <c r="V142" s="2" t="inlineStr"/>
      <c r="W142" s="6" t="inlineStr">
        <is>
          <t>https://yakeey.com/fr-ma/achat/biens/145701</t>
        </is>
      </c>
    </row>
    <row r="143">
      <c r="A143" t="inlineStr">
        <is>
          <t>146062</t>
        </is>
      </c>
      <c r="B143" t="inlineStr">
        <is>
          <t>APARTMENT</t>
        </is>
      </c>
      <c r="C143" t="inlineStr">
        <is>
          <t>Ain Diab</t>
        </is>
      </c>
      <c r="D143" t="inlineStr">
        <is>
          <t>Casablanca</t>
        </is>
      </c>
      <c r="E143" s="7" t="n">
        <v>2550000</v>
      </c>
      <c r="F143" s="8" t="n">
        <v>93</v>
      </c>
      <c r="G143" s="8" t="n"/>
      <c r="H143" s="8" t="n"/>
      <c r="I143" s="9">
        <f>IFERROR(E143/F143,"")</f>
        <v/>
      </c>
      <c r="J143" t="n">
        <v>3</v>
      </c>
      <c r="K143" t="n">
        <v>2</v>
      </c>
      <c r="P143" t="inlineStr">
        <is>
          <t>LISTED</t>
        </is>
      </c>
      <c r="S143" t="n">
        <v>33.58457010395619</v>
      </c>
      <c r="T143" t="n">
        <v>-7.675905193548477</v>
      </c>
      <c r="U143" s="7" t="n">
        <v>14670</v>
      </c>
      <c r="V143" t="inlineStr"/>
      <c r="W143" s="10" t="inlineStr">
        <is>
          <t>https://yakeey.com/fr-ma/achat/biens/146062</t>
        </is>
      </c>
    </row>
    <row r="144">
      <c r="A144" s="2" t="inlineStr">
        <is>
          <t>146132</t>
        </is>
      </c>
      <c r="B144" s="2" t="inlineStr">
        <is>
          <t>APARTMENT</t>
        </is>
      </c>
      <c r="C144" s="2" t="inlineStr">
        <is>
          <t>Plateau</t>
        </is>
      </c>
      <c r="D144" s="2" t="inlineStr">
        <is>
          <t>Casablanca</t>
        </is>
      </c>
      <c r="E144" s="3" t="n">
        <v>1550000</v>
      </c>
      <c r="F144" s="4" t="n">
        <v>107</v>
      </c>
      <c r="G144" s="4" t="n"/>
      <c r="H144" s="4" t="n"/>
      <c r="I144" s="5">
        <f>IFERROR(E144/F144,"")</f>
        <v/>
      </c>
      <c r="J144" s="2" t="n">
        <v>2</v>
      </c>
      <c r="K144" s="2" t="n">
        <v>1</v>
      </c>
      <c r="L144" s="2" t="n"/>
      <c r="M144" s="2" t="n"/>
      <c r="N144" s="2" t="n"/>
      <c r="O144" s="2" t="n"/>
      <c r="P144" s="2" t="inlineStr">
        <is>
          <t>LISTED</t>
        </is>
      </c>
      <c r="Q144" s="2" t="n"/>
      <c r="R144" s="2" t="n"/>
      <c r="S144" s="2" t="n">
        <v>33.5690010327046</v>
      </c>
      <c r="T144" s="2" t="n">
        <v>-7.635477149203461</v>
      </c>
      <c r="U144" s="3" t="n">
        <v>8917</v>
      </c>
      <c r="V144" s="2" t="inlineStr"/>
      <c r="W144" s="6" t="inlineStr">
        <is>
          <t>https://yakeey.com/fr-ma/achat/biens/146132</t>
        </is>
      </c>
    </row>
    <row r="145">
      <c r="A145" t="inlineStr">
        <is>
          <t>147347</t>
        </is>
      </c>
      <c r="B145" t="inlineStr">
        <is>
          <t>APARTMENT</t>
        </is>
      </c>
      <c r="C145" t="inlineStr">
        <is>
          <t>Lekrimat</t>
        </is>
      </c>
      <c r="D145" t="inlineStr">
        <is>
          <t>Casablanca</t>
        </is>
      </c>
      <c r="E145" s="7" t="n">
        <v>1650000</v>
      </c>
      <c r="F145" s="8" t="n">
        <v>95</v>
      </c>
      <c r="G145" s="8" t="n"/>
      <c r="H145" s="8" t="n"/>
      <c r="I145" s="9">
        <f>IFERROR(E145/F145,"")</f>
        <v/>
      </c>
      <c r="J145" t="n">
        <v>3</v>
      </c>
      <c r="K145" t="n">
        <v>1</v>
      </c>
      <c r="P145" t="inlineStr">
        <is>
          <t>LISTED</t>
        </is>
      </c>
      <c r="S145" t="n">
        <v>33.53782495876636</v>
      </c>
      <c r="T145" t="n">
        <v>-7.61307432732008</v>
      </c>
      <c r="U145" s="7" t="n">
        <v>9492</v>
      </c>
      <c r="V145" t="inlineStr"/>
      <c r="W145" s="10" t="inlineStr">
        <is>
          <t>https://yakeey.com/fr-ma/achat/biens/147347</t>
        </is>
      </c>
    </row>
    <row r="146">
      <c r="A146" s="2" t="inlineStr">
        <is>
          <t>147389</t>
        </is>
      </c>
      <c r="B146" s="2" t="inlineStr">
        <is>
          <t>APARTMENT</t>
        </is>
      </c>
      <c r="C146" s="2" t="inlineStr">
        <is>
          <t>Triangle D'Or</t>
        </is>
      </c>
      <c r="D146" s="2" t="inlineStr">
        <is>
          <t>Casablanca</t>
        </is>
      </c>
      <c r="E146" s="3" t="n">
        <v>5460000</v>
      </c>
      <c r="F146" s="4" t="n">
        <v>205</v>
      </c>
      <c r="G146" s="4" t="n"/>
      <c r="H146" s="4" t="n"/>
      <c r="I146" s="5">
        <f>IFERROR(E146/F146,"")</f>
        <v/>
      </c>
      <c r="J146" s="2" t="n">
        <v>3</v>
      </c>
      <c r="K146" s="2" t="n">
        <v>3</v>
      </c>
      <c r="L146" s="2" t="n"/>
      <c r="M146" s="2" t="n"/>
      <c r="N146" s="2" t="n"/>
      <c r="O146" s="2" t="n"/>
      <c r="P146" s="2" t="inlineStr">
        <is>
          <t>LISTED</t>
        </is>
      </c>
      <c r="Q146" s="2" t="n"/>
      <c r="R146" s="2" t="n"/>
      <c r="S146" s="2" t="n">
        <v>33.58734141005068</v>
      </c>
      <c r="T146" s="2" t="n">
        <v>-7.635435826604525</v>
      </c>
      <c r="U146" s="3" t="n">
        <v>31411</v>
      </c>
      <c r="V146" s="2" t="inlineStr"/>
      <c r="W146" s="6" t="inlineStr">
        <is>
          <t>https://yakeey.com/fr-ma/achat/biens/147389</t>
        </is>
      </c>
    </row>
    <row r="147">
      <c r="A147" t="inlineStr">
        <is>
          <t>147418</t>
        </is>
      </c>
      <c r="B147" t="inlineStr">
        <is>
          <t>APARTMENT</t>
        </is>
      </c>
      <c r="C147" t="inlineStr">
        <is>
          <t>Quartier Bd De Bordeaux</t>
        </is>
      </c>
      <c r="D147" t="inlineStr">
        <is>
          <t>Casablanca</t>
        </is>
      </c>
      <c r="E147" s="7" t="n">
        <v>900000</v>
      </c>
      <c r="F147" s="8" t="n">
        <v>85</v>
      </c>
      <c r="G147" s="8" t="n"/>
      <c r="H147" s="8" t="n"/>
      <c r="I147" s="9">
        <f>IFERROR(E147/F147,"")</f>
        <v/>
      </c>
      <c r="J147" t="n">
        <v>2</v>
      </c>
      <c r="K147" t="n">
        <v>1</v>
      </c>
      <c r="P147" t="inlineStr">
        <is>
          <t>LISTED</t>
        </is>
      </c>
      <c r="S147" t="n">
        <v>33.59905749491406</v>
      </c>
      <c r="T147" t="n">
        <v>-7.629223871706518</v>
      </c>
      <c r="U147" s="7" t="n">
        <v>5177</v>
      </c>
      <c r="V147" t="inlineStr"/>
      <c r="W147" s="10" t="inlineStr">
        <is>
          <t>https://yakeey.com/fr-ma/achat/biens/147418</t>
        </is>
      </c>
    </row>
    <row r="148">
      <c r="A148" s="2" t="inlineStr">
        <is>
          <t>147635</t>
        </is>
      </c>
      <c r="B148" s="2" t="inlineStr">
        <is>
          <t>APARTMENT</t>
        </is>
      </c>
      <c r="C148" s="2" t="inlineStr">
        <is>
          <t>Les Princesses</t>
        </is>
      </c>
      <c r="D148" s="2" t="inlineStr">
        <is>
          <t>Casablanca</t>
        </is>
      </c>
      <c r="E148" s="3" t="n">
        <v>1900000</v>
      </c>
      <c r="F148" s="4" t="n">
        <v>132</v>
      </c>
      <c r="G148" s="4" t="n"/>
      <c r="H148" s="4" t="n"/>
      <c r="I148" s="5">
        <f>IFERROR(E148/F148,"")</f>
        <v/>
      </c>
      <c r="J148" s="2" t="n">
        <v>3</v>
      </c>
      <c r="K148" s="2" t="n">
        <v>2</v>
      </c>
      <c r="L148" s="2" t="n"/>
      <c r="M148" s="2" t="n"/>
      <c r="N148" s="2" t="n"/>
      <c r="O148" s="2" t="n"/>
      <c r="P148" s="2" t="inlineStr">
        <is>
          <t>LISTED</t>
        </is>
      </c>
      <c r="Q148" s="2" t="n"/>
      <c r="R148" s="2" t="n"/>
      <c r="S148" s="2" t="n">
        <v>33.57419352769761</v>
      </c>
      <c r="T148" s="2" t="n">
        <v>-7.645916368186024</v>
      </c>
      <c r="U148" s="3" t="n">
        <v>10930</v>
      </c>
      <c r="V148" s="2" t="inlineStr"/>
      <c r="W148" s="6" t="inlineStr">
        <is>
          <t>https://yakeey.com/fr-ma/achat/biens/147635</t>
        </is>
      </c>
    </row>
    <row r="149">
      <c r="A149" t="inlineStr">
        <is>
          <t>147777</t>
        </is>
      </c>
      <c r="B149" t="inlineStr">
        <is>
          <t>APARTMENT</t>
        </is>
      </c>
      <c r="C149" t="inlineStr">
        <is>
          <t>Oasis</t>
        </is>
      </c>
      <c r="D149" t="inlineStr">
        <is>
          <t>Casablanca</t>
        </is>
      </c>
      <c r="E149" s="7" t="n">
        <v>2800000</v>
      </c>
      <c r="F149" s="8" t="n">
        <v>144</v>
      </c>
      <c r="G149" s="8" t="n"/>
      <c r="H149" s="8" t="n"/>
      <c r="I149" s="9">
        <f>IFERROR(E149/F149,"")</f>
        <v/>
      </c>
      <c r="J149" t="n">
        <v>3</v>
      </c>
      <c r="K149" t="n">
        <v>2</v>
      </c>
      <c r="P149" t="inlineStr">
        <is>
          <t>LISTED</t>
        </is>
      </c>
      <c r="S149" t="n">
        <v>33.55046691327892</v>
      </c>
      <c r="T149" t="n">
        <v>-7.640720960334326</v>
      </c>
      <c r="U149" s="7" t="n">
        <v>16108</v>
      </c>
      <c r="V149" t="inlineStr"/>
      <c r="W149" s="10" t="inlineStr">
        <is>
          <t>https://yakeey.com/fr-ma/achat/biens/147777</t>
        </is>
      </c>
    </row>
    <row r="150">
      <c r="A150" s="2" t="inlineStr">
        <is>
          <t>148153</t>
        </is>
      </c>
      <c r="B150" s="2" t="inlineStr">
        <is>
          <t>APARTMENT</t>
        </is>
      </c>
      <c r="C150" s="2" t="inlineStr">
        <is>
          <t>Gauthier</t>
        </is>
      </c>
      <c r="D150" s="2" t="inlineStr">
        <is>
          <t>Casablanca</t>
        </is>
      </c>
      <c r="E150" s="3" t="n">
        <v>3600000</v>
      </c>
      <c r="F150" s="4" t="n">
        <v>202</v>
      </c>
      <c r="G150" s="4" t="n"/>
      <c r="H150" s="4" t="n"/>
      <c r="I150" s="5">
        <f>IFERROR(E150/F150,"")</f>
        <v/>
      </c>
      <c r="J150" s="2" t="n">
        <v>3</v>
      </c>
      <c r="K150" s="2" t="n">
        <v>2</v>
      </c>
      <c r="L150" s="2" t="n"/>
      <c r="M150" s="2" t="n"/>
      <c r="N150" s="2" t="n"/>
      <c r="O150" s="2" t="n"/>
      <c r="P150" s="2" t="inlineStr">
        <is>
          <t>LISTED</t>
        </is>
      </c>
      <c r="Q150" s="2" t="n"/>
      <c r="R150" s="2" t="n"/>
      <c r="S150" s="2" t="n">
        <v>33.58908087472796</v>
      </c>
      <c r="T150" s="2" t="n">
        <v>-7.634939560583041</v>
      </c>
      <c r="U150" s="3" t="n">
        <v>20711</v>
      </c>
      <c r="V150" s="2" t="inlineStr"/>
      <c r="W150" s="6" t="inlineStr">
        <is>
          <t>https://yakeey.com/fr-ma/achat/biens/148153</t>
        </is>
      </c>
    </row>
    <row r="151">
      <c r="A151" t="inlineStr">
        <is>
          <t>148677</t>
        </is>
      </c>
      <c r="B151" t="inlineStr">
        <is>
          <t>APARTMENT</t>
        </is>
      </c>
      <c r="C151" t="inlineStr">
        <is>
          <t>Ferme Bretonne</t>
        </is>
      </c>
      <c r="D151" t="inlineStr">
        <is>
          <t>Casablanca</t>
        </is>
      </c>
      <c r="E151" s="7" t="n">
        <v>2100000</v>
      </c>
      <c r="F151" s="8" t="n">
        <v>118</v>
      </c>
      <c r="G151" s="8" t="n"/>
      <c r="H151" s="8" t="n"/>
      <c r="I151" s="9">
        <f>IFERROR(E151/F151,"")</f>
        <v/>
      </c>
      <c r="J151" t="n">
        <v>2</v>
      </c>
      <c r="K151" t="n">
        <v>1</v>
      </c>
      <c r="P151" t="inlineStr">
        <is>
          <t>LISTED</t>
        </is>
      </c>
      <c r="S151" t="n">
        <v>33.55147752729186</v>
      </c>
      <c r="T151" t="n">
        <v>-7.647409217544176</v>
      </c>
      <c r="U151" s="7" t="n">
        <v>12081</v>
      </c>
      <c r="V151" t="inlineStr"/>
      <c r="W151" s="10" t="inlineStr">
        <is>
          <t>https://yakeey.com/fr-ma/achat/biens/148677</t>
        </is>
      </c>
    </row>
    <row r="152">
      <c r="A152" s="2" t="inlineStr">
        <is>
          <t>149074</t>
        </is>
      </c>
      <c r="B152" s="2" t="inlineStr">
        <is>
          <t>APARTMENT</t>
        </is>
      </c>
      <c r="C152" s="2" t="inlineStr">
        <is>
          <t>Ferme Bretonne</t>
        </is>
      </c>
      <c r="D152" s="2" t="inlineStr">
        <is>
          <t>Casablanca</t>
        </is>
      </c>
      <c r="E152" s="3" t="n">
        <v>3100000</v>
      </c>
      <c r="F152" s="4" t="n">
        <v>191</v>
      </c>
      <c r="G152" s="4" t="n"/>
      <c r="H152" s="4" t="n"/>
      <c r="I152" s="5">
        <f>IFERROR(E152/F152,"")</f>
        <v/>
      </c>
      <c r="J152" s="2" t="n">
        <v>3</v>
      </c>
      <c r="K152" s="2" t="n">
        <v>2</v>
      </c>
      <c r="L152" s="2" t="n"/>
      <c r="M152" s="2" t="n"/>
      <c r="N152" s="2" t="n"/>
      <c r="O152" s="2" t="n"/>
      <c r="P152" s="2" t="inlineStr">
        <is>
          <t>LISTED</t>
        </is>
      </c>
      <c r="Q152" s="2" t="n"/>
      <c r="R152" s="2" t="n"/>
      <c r="S152" s="2" t="n">
        <v>33.5638465479831</v>
      </c>
      <c r="T152" s="2" t="n">
        <v>-7.645430051056031</v>
      </c>
      <c r="U152" s="3" t="n">
        <v>17834</v>
      </c>
      <c r="V152" s="2" t="inlineStr"/>
      <c r="W152" s="6" t="inlineStr">
        <is>
          <t>https://yakeey.com/fr-ma/achat/biens/149074</t>
        </is>
      </c>
    </row>
    <row r="153">
      <c r="A153" t="inlineStr">
        <is>
          <t>149265</t>
        </is>
      </c>
      <c r="B153" t="inlineStr">
        <is>
          <t>APARTMENT</t>
        </is>
      </c>
      <c r="C153" t="inlineStr">
        <is>
          <t>Beausejour</t>
        </is>
      </c>
      <c r="D153" t="inlineStr">
        <is>
          <t>Casablanca</t>
        </is>
      </c>
      <c r="E153" s="7" t="n">
        <v>2550000</v>
      </c>
      <c r="F153" s="8" t="n">
        <v>155</v>
      </c>
      <c r="G153" s="8" t="n"/>
      <c r="H153" s="8" t="n"/>
      <c r="I153" s="9">
        <f>IFERROR(E153/F153,"")</f>
        <v/>
      </c>
      <c r="J153" t="n">
        <v>3</v>
      </c>
      <c r="K153" t="n">
        <v>2</v>
      </c>
      <c r="P153" t="inlineStr">
        <is>
          <t>LISTED</t>
        </is>
      </c>
      <c r="S153" t="n">
        <v>33.56885905156852</v>
      </c>
      <c r="T153" t="n">
        <v>-7.654096034116985</v>
      </c>
      <c r="U153" s="7" t="n">
        <v>14670</v>
      </c>
      <c r="V153" t="inlineStr"/>
      <c r="W153" s="10" t="inlineStr">
        <is>
          <t>https://yakeey.com/fr-ma/achat/biens/149265</t>
        </is>
      </c>
    </row>
    <row r="154">
      <c r="A154" s="2" t="inlineStr">
        <is>
          <t>149475</t>
        </is>
      </c>
      <c r="B154" s="2" t="inlineStr">
        <is>
          <t>APARTMENT</t>
        </is>
      </c>
      <c r="C154" s="2" t="inlineStr">
        <is>
          <t>Les Princesses</t>
        </is>
      </c>
      <c r="D154" s="2" t="inlineStr">
        <is>
          <t>Casablanca</t>
        </is>
      </c>
      <c r="E154" s="3" t="n">
        <v>2700000</v>
      </c>
      <c r="F154" s="4" t="n">
        <v>245</v>
      </c>
      <c r="G154" s="4" t="n"/>
      <c r="H154" s="4" t="n"/>
      <c r="I154" s="5">
        <f>IFERROR(E154/F154,"")</f>
        <v/>
      </c>
      <c r="J154" s="2" t="n">
        <v>4</v>
      </c>
      <c r="K154" s="2" t="n">
        <v>1</v>
      </c>
      <c r="L154" s="2" t="n"/>
      <c r="M154" s="2" t="n"/>
      <c r="N154" s="2" t="n"/>
      <c r="O154" s="2" t="n"/>
      <c r="P154" s="2" t="inlineStr">
        <is>
          <t>LISTED</t>
        </is>
      </c>
      <c r="Q154" s="2" t="n"/>
      <c r="R154" s="2" t="n"/>
      <c r="S154" s="2" t="n">
        <v>33.57453599606404</v>
      </c>
      <c r="T154" s="2" t="n">
        <v>-7.646273086242644</v>
      </c>
      <c r="U154" s="3" t="n">
        <v>15533</v>
      </c>
      <c r="V154" s="2" t="inlineStr"/>
      <c r="W154" s="6" t="inlineStr">
        <is>
          <t>https://yakeey.com/fr-ma/achat/biens/149475</t>
        </is>
      </c>
    </row>
    <row r="155">
      <c r="A155" t="inlineStr">
        <is>
          <t>149844</t>
        </is>
      </c>
      <c r="B155" t="inlineStr">
        <is>
          <t>APARTMENT</t>
        </is>
      </c>
      <c r="C155" t="inlineStr">
        <is>
          <t>Maarif Extension</t>
        </is>
      </c>
      <c r="D155" t="inlineStr">
        <is>
          <t>Casablanca</t>
        </is>
      </c>
      <c r="E155" s="7" t="n">
        <v>1251555</v>
      </c>
      <c r="F155" s="8" t="n">
        <v>113</v>
      </c>
      <c r="G155" s="8" t="n"/>
      <c r="H155" s="8" t="n"/>
      <c r="I155" s="9">
        <f>IFERROR(E155/F155,"")</f>
        <v/>
      </c>
      <c r="J155" t="n">
        <v>2</v>
      </c>
      <c r="K155" t="n">
        <v>2</v>
      </c>
      <c r="P155" t="inlineStr">
        <is>
          <t>SOLD_OUT</t>
        </is>
      </c>
      <c r="S155" t="n">
        <v>33.58066719885861</v>
      </c>
      <c r="T155" t="n">
        <v>-7.643427860239648</v>
      </c>
      <c r="U155" s="7" t="n">
        <v>7200</v>
      </c>
      <c r="V155" t="inlineStr"/>
      <c r="W155" s="10" t="inlineStr">
        <is>
          <t>https://yakeey.com/fr-ma/achat/biens/149844</t>
        </is>
      </c>
    </row>
    <row r="156">
      <c r="A156" s="2" t="inlineStr">
        <is>
          <t>149997</t>
        </is>
      </c>
      <c r="B156" s="2" t="inlineStr">
        <is>
          <t>APARTMENT</t>
        </is>
      </c>
      <c r="C156" s="2" t="inlineStr">
        <is>
          <t>Al Azhar</t>
        </is>
      </c>
      <c r="D156" s="2" t="inlineStr">
        <is>
          <t>Casablanca</t>
        </is>
      </c>
      <c r="E156" s="3" t="n">
        <v>500000</v>
      </c>
      <c r="F156" s="4" t="n">
        <v>56</v>
      </c>
      <c r="G156" s="4" t="n"/>
      <c r="H156" s="4" t="n"/>
      <c r="I156" s="5">
        <f>IFERROR(E156/F156,"")</f>
        <v/>
      </c>
      <c r="J156" s="2" t="n">
        <v>1</v>
      </c>
      <c r="K156" s="2" t="n">
        <v>1</v>
      </c>
      <c r="L156" s="2" t="n"/>
      <c r="M156" s="2" t="n"/>
      <c r="N156" s="2" t="n"/>
      <c r="O156" s="2" t="n"/>
      <c r="P156" s="2" t="inlineStr">
        <is>
          <t>LISTED</t>
        </is>
      </c>
      <c r="Q156" s="2" t="n"/>
      <c r="R156" s="2" t="n"/>
      <c r="S156" s="2" t="n">
        <v>33.59769754512067</v>
      </c>
      <c r="T156" s="2" t="n">
        <v>-7.487896710827715</v>
      </c>
      <c r="U156" s="3" t="n">
        <v>2876</v>
      </c>
      <c r="V156" s="2" t="inlineStr"/>
      <c r="W156" s="6" t="inlineStr">
        <is>
          <t>https://yakeey.com/fr-ma/achat/biens/149997</t>
        </is>
      </c>
    </row>
    <row r="157">
      <c r="A157" t="inlineStr">
        <is>
          <t>150291</t>
        </is>
      </c>
      <c r="B157" t="inlineStr">
        <is>
          <t>APARTMENT</t>
        </is>
      </c>
      <c r="C157" t="inlineStr">
        <is>
          <t>Bourgogne (Anfa)</t>
        </is>
      </c>
      <c r="D157" t="inlineStr">
        <is>
          <t>Casablanca</t>
        </is>
      </c>
      <c r="E157" s="7" t="n">
        <v>1450000</v>
      </c>
      <c r="F157" s="8" t="n">
        <v>103</v>
      </c>
      <c r="G157" s="8" t="n"/>
      <c r="H157" s="8" t="n"/>
      <c r="I157" s="9">
        <f>IFERROR(E157/F157,"")</f>
        <v/>
      </c>
      <c r="J157" t="n">
        <v>2</v>
      </c>
      <c r="K157" t="n">
        <v>2</v>
      </c>
      <c r="P157" t="inlineStr">
        <is>
          <t>LISTED</t>
        </is>
      </c>
      <c r="S157" t="n">
        <v>33.6032787397458</v>
      </c>
      <c r="T157" t="n">
        <v>-7.645932972886532</v>
      </c>
      <c r="U157" s="7" t="n">
        <v>8341</v>
      </c>
      <c r="V157" t="inlineStr"/>
      <c r="W157" s="10" t="inlineStr">
        <is>
          <t>https://yakeey.com/fr-ma/achat/biens/150291</t>
        </is>
      </c>
    </row>
    <row r="158">
      <c r="A158" s="2" t="inlineStr">
        <is>
          <t>150341</t>
        </is>
      </c>
      <c r="B158" s="2" t="inlineStr">
        <is>
          <t>APARTMENT</t>
        </is>
      </c>
      <c r="C158" s="2" t="inlineStr">
        <is>
          <t>Maarif Extension</t>
        </is>
      </c>
      <c r="D158" s="2" t="inlineStr">
        <is>
          <t>Casablanca</t>
        </is>
      </c>
      <c r="E158" s="3" t="n">
        <v>850000</v>
      </c>
      <c r="F158" s="4" t="n">
        <v>77</v>
      </c>
      <c r="G158" s="4" t="n"/>
      <c r="H158" s="4" t="n"/>
      <c r="I158" s="5">
        <f>IFERROR(E158/F158,"")</f>
        <v/>
      </c>
      <c r="J158" s="2" t="n">
        <v>2</v>
      </c>
      <c r="K158" s="2" t="n">
        <v>1</v>
      </c>
      <c r="L158" s="2" t="n"/>
      <c r="M158" s="2" t="n"/>
      <c r="N158" s="2" t="n"/>
      <c r="O158" s="2" t="n"/>
      <c r="P158" s="2" t="inlineStr">
        <is>
          <t>LISTED</t>
        </is>
      </c>
      <c r="Q158" s="2" t="n"/>
      <c r="R158" s="2" t="n"/>
      <c r="S158" s="2" t="n">
        <v>33.5829703960845</v>
      </c>
      <c r="T158" s="2" t="n">
        <v>-7.648715167202629</v>
      </c>
      <c r="U158" s="3" t="n">
        <v>4890</v>
      </c>
      <c r="V158" s="2" t="inlineStr"/>
      <c r="W158" s="6" t="inlineStr">
        <is>
          <t>https://yakeey.com/fr-ma/achat/biens/150341</t>
        </is>
      </c>
    </row>
    <row r="159">
      <c r="A159" t="inlineStr">
        <is>
          <t>150579</t>
        </is>
      </c>
      <c r="B159" t="inlineStr">
        <is>
          <t>APARTMENT</t>
        </is>
      </c>
      <c r="C159" t="inlineStr">
        <is>
          <t>Californie</t>
        </is>
      </c>
      <c r="D159" t="inlineStr">
        <is>
          <t>Casablanca</t>
        </is>
      </c>
      <c r="E159" s="7" t="n">
        <v>1550000</v>
      </c>
      <c r="F159" s="8" t="n">
        <v>99</v>
      </c>
      <c r="G159" s="8" t="n"/>
      <c r="H159" s="8" t="n"/>
      <c r="I159" s="9">
        <f>IFERROR(E159/F159,"")</f>
        <v/>
      </c>
      <c r="J159" t="n">
        <v>2</v>
      </c>
      <c r="K159" t="n">
        <v>2</v>
      </c>
      <c r="P159" t="inlineStr">
        <is>
          <t>LISTED</t>
        </is>
      </c>
      <c r="S159" t="n">
        <v>33.5286103096246</v>
      </c>
      <c r="T159" t="n">
        <v>-7.61523007801939</v>
      </c>
      <c r="U159" s="7" t="n">
        <v>8917</v>
      </c>
      <c r="V159" t="inlineStr"/>
      <c r="W159" s="10" t="inlineStr">
        <is>
          <t>https://yakeey.com/fr-ma/achat/biens/150579</t>
        </is>
      </c>
    </row>
    <row r="160">
      <c r="A160" s="2" t="inlineStr">
        <is>
          <t>150869</t>
        </is>
      </c>
      <c r="B160" s="2" t="inlineStr">
        <is>
          <t>APARTMENT</t>
        </is>
      </c>
      <c r="C160" s="2" t="inlineStr">
        <is>
          <t>Sidi El Khadir</t>
        </is>
      </c>
      <c r="D160" s="2" t="inlineStr">
        <is>
          <t>Casablanca</t>
        </is>
      </c>
      <c r="E160" s="3" t="n">
        <v>1200000</v>
      </c>
      <c r="F160" s="4" t="n">
        <v>205</v>
      </c>
      <c r="G160" s="4" t="n"/>
      <c r="H160" s="4" t="n"/>
      <c r="I160" s="5">
        <f>IFERROR(E160/F160,"")</f>
        <v/>
      </c>
      <c r="J160" s="2" t="n">
        <v>2</v>
      </c>
      <c r="K160" s="2" t="n">
        <v>1</v>
      </c>
      <c r="L160" s="2" t="n"/>
      <c r="M160" s="2" t="n"/>
      <c r="N160" s="2" t="n"/>
      <c r="O160" s="2" t="n"/>
      <c r="P160" s="2" t="inlineStr">
        <is>
          <t>LISTED</t>
        </is>
      </c>
      <c r="Q160" s="2" t="n"/>
      <c r="R160" s="2" t="n"/>
      <c r="S160" s="2" t="n">
        <v>33.56492438889568</v>
      </c>
      <c r="T160" s="2" t="n">
        <v>-7.692706952733231</v>
      </c>
      <c r="U160" s="3" t="n">
        <v>6903</v>
      </c>
      <c r="V160" s="2" t="inlineStr"/>
      <c r="W160" s="6" t="inlineStr">
        <is>
          <t>https://yakeey.com/fr-ma/achat/biens/150869</t>
        </is>
      </c>
    </row>
    <row r="161">
      <c r="A161" t="inlineStr">
        <is>
          <t>151301</t>
        </is>
      </c>
      <c r="B161" t="inlineStr">
        <is>
          <t>APARTMENT</t>
        </is>
      </c>
      <c r="C161" t="inlineStr">
        <is>
          <t>Liberte</t>
        </is>
      </c>
      <c r="D161" t="inlineStr">
        <is>
          <t>Casablanca</t>
        </is>
      </c>
      <c r="E161" s="7" t="n">
        <v>900000</v>
      </c>
      <c r="F161" s="8" t="n">
        <v>131</v>
      </c>
      <c r="G161" s="8" t="n"/>
      <c r="H161" s="8" t="n"/>
      <c r="I161" s="9">
        <f>IFERROR(E161/F161,"")</f>
        <v/>
      </c>
      <c r="J161" t="n">
        <v>2</v>
      </c>
      <c r="K161" t="n">
        <v>1</v>
      </c>
      <c r="P161" t="inlineStr">
        <is>
          <t>LISTED</t>
        </is>
      </c>
      <c r="S161" t="n">
        <v>33.5873242927302</v>
      </c>
      <c r="T161" t="n">
        <v>-7.612990003233038</v>
      </c>
      <c r="U161" s="7" t="n">
        <v>5177</v>
      </c>
      <c r="V161" t="inlineStr"/>
      <c r="W161" s="10" t="inlineStr">
        <is>
          <t>https://yakeey.com/fr-ma/achat/biens/151301</t>
        </is>
      </c>
    </row>
    <row r="162">
      <c r="A162" s="2" t="inlineStr">
        <is>
          <t>151793</t>
        </is>
      </c>
      <c r="B162" s="2" t="inlineStr">
        <is>
          <t>APARTMENT</t>
        </is>
      </c>
      <c r="C162" s="2" t="inlineStr">
        <is>
          <t>Mers Sultan</t>
        </is>
      </c>
      <c r="D162" s="2" t="inlineStr">
        <is>
          <t>Casablanca</t>
        </is>
      </c>
      <c r="E162" s="3" t="n">
        <v>1950000</v>
      </c>
      <c r="F162" s="4" t="n">
        <v>143</v>
      </c>
      <c r="G162" s="4" t="n"/>
      <c r="H162" s="4" t="n"/>
      <c r="I162" s="5">
        <f>IFERROR(E162/F162,"")</f>
        <v/>
      </c>
      <c r="J162" s="2" t="n">
        <v>3</v>
      </c>
      <c r="K162" s="2" t="n">
        <v>2</v>
      </c>
      <c r="L162" s="2" t="n"/>
      <c r="M162" s="2" t="n"/>
      <c r="N162" s="2" t="n"/>
      <c r="O162" s="2" t="n"/>
      <c r="P162" s="2" t="inlineStr">
        <is>
          <t>LISTED</t>
        </is>
      </c>
      <c r="Q162" s="2" t="n"/>
      <c r="R162" s="2" t="n"/>
      <c r="S162" s="2" t="n">
        <v>33.57357699956837</v>
      </c>
      <c r="T162" s="2" t="n">
        <v>-7.609954250888537</v>
      </c>
      <c r="U162" s="3" t="n">
        <v>11218</v>
      </c>
      <c r="V162" s="2" t="inlineStr"/>
      <c r="W162" s="6" t="inlineStr">
        <is>
          <t>https://yakeey.com/fr-ma/achat/biens/151793</t>
        </is>
      </c>
    </row>
    <row r="163">
      <c r="A163" t="inlineStr">
        <is>
          <t>152023</t>
        </is>
      </c>
      <c r="B163" t="inlineStr">
        <is>
          <t>APARTMENT</t>
        </is>
      </c>
      <c r="C163" t="inlineStr">
        <is>
          <t>Tamaris2</t>
        </is>
      </c>
      <c r="D163" t="inlineStr">
        <is>
          <t>Dar Bouazza</t>
        </is>
      </c>
      <c r="E163" s="7" t="n">
        <v>1950000</v>
      </c>
      <c r="F163" s="8" t="n">
        <v>150</v>
      </c>
      <c r="G163" s="8" t="n"/>
      <c r="H163" s="8" t="n"/>
      <c r="I163" s="9">
        <f>IFERROR(E163/F163,"")</f>
        <v/>
      </c>
      <c r="J163" t="n">
        <v>3</v>
      </c>
      <c r="K163" t="n">
        <v>3</v>
      </c>
      <c r="P163" t="inlineStr">
        <is>
          <t>LISTED</t>
        </is>
      </c>
      <c r="S163" t="n">
        <v>33.51845114688554</v>
      </c>
      <c r="T163" t="n">
        <v>-7.83307402412847</v>
      </c>
      <c r="U163" s="7" t="n">
        <v>11218</v>
      </c>
      <c r="V163" t="inlineStr"/>
      <c r="W163" s="10" t="inlineStr">
        <is>
          <t>https://yakeey.com/fr-ma/achat/biens/152023</t>
        </is>
      </c>
    </row>
    <row r="164">
      <c r="A164" s="2" t="inlineStr">
        <is>
          <t>152391</t>
        </is>
      </c>
      <c r="B164" s="2" t="inlineStr">
        <is>
          <t>APARTMENT</t>
        </is>
      </c>
      <c r="C164" s="2" t="inlineStr">
        <is>
          <t>Bourgogne (Anfa)</t>
        </is>
      </c>
      <c r="D164" s="2" t="inlineStr">
        <is>
          <t>Casablanca</t>
        </is>
      </c>
      <c r="E164" s="3" t="n">
        <v>2600000</v>
      </c>
      <c r="F164" s="4" t="n">
        <v>158</v>
      </c>
      <c r="G164" s="4" t="n"/>
      <c r="H164" s="4" t="n"/>
      <c r="I164" s="5">
        <f>IFERROR(E164/F164,"")</f>
        <v/>
      </c>
      <c r="J164" s="2" t="n">
        <v>3</v>
      </c>
      <c r="K164" s="2" t="n">
        <v>2</v>
      </c>
      <c r="L164" s="2" t="n"/>
      <c r="M164" s="2" t="n"/>
      <c r="N164" s="2" t="n"/>
      <c r="O164" s="2" t="n"/>
      <c r="P164" s="2" t="inlineStr">
        <is>
          <t>LISTED</t>
        </is>
      </c>
      <c r="Q164" s="2" t="n"/>
      <c r="R164" s="2" t="n"/>
      <c r="S164" s="2" t="n">
        <v>33.59491414995781</v>
      </c>
      <c r="T164" s="2" t="n">
        <v>-7.652637407958738</v>
      </c>
      <c r="U164" s="3" t="n">
        <v>14957</v>
      </c>
      <c r="V164" s="2" t="inlineStr"/>
      <c r="W164" s="6" t="inlineStr">
        <is>
          <t>https://yakeey.com/fr-ma/achat/biens/152391</t>
        </is>
      </c>
    </row>
    <row r="165">
      <c r="A165" t="inlineStr">
        <is>
          <t>152565</t>
        </is>
      </c>
      <c r="B165" t="inlineStr">
        <is>
          <t>APARTMENT</t>
        </is>
      </c>
      <c r="C165" t="inlineStr">
        <is>
          <t>Hopitaux</t>
        </is>
      </c>
      <c r="D165" t="inlineStr">
        <is>
          <t>Casablanca</t>
        </is>
      </c>
      <c r="E165" s="7" t="n">
        <v>2200000</v>
      </c>
      <c r="F165" s="8" t="n">
        <v>144</v>
      </c>
      <c r="G165" s="8" t="n"/>
      <c r="H165" s="8" t="n"/>
      <c r="I165" s="9">
        <f>IFERROR(E165/F165,"")</f>
        <v/>
      </c>
      <c r="J165" t="n">
        <v>2</v>
      </c>
      <c r="K165" t="n">
        <v>2</v>
      </c>
      <c r="P165" t="inlineStr">
        <is>
          <t>LISTED</t>
        </is>
      </c>
      <c r="S165" t="n">
        <v>33.5722199000902</v>
      </c>
      <c r="T165" t="n">
        <v>-7.615193520372276</v>
      </c>
      <c r="U165" s="7" t="n">
        <v>12656</v>
      </c>
      <c r="V165" t="inlineStr"/>
      <c r="W165" s="10" t="inlineStr">
        <is>
          <t>https://yakeey.com/fr-ma/achat/biens/152565</t>
        </is>
      </c>
    </row>
    <row r="166">
      <c r="A166" s="2" t="inlineStr">
        <is>
          <t>152686</t>
        </is>
      </c>
      <c r="B166" s="2" t="inlineStr">
        <is>
          <t>APARTMENT</t>
        </is>
      </c>
      <c r="C166" s="2" t="inlineStr">
        <is>
          <t>Nassim</t>
        </is>
      </c>
      <c r="D166" s="2" t="inlineStr">
        <is>
          <t>Casablanca</t>
        </is>
      </c>
      <c r="E166" s="3" t="n">
        <v>1490000</v>
      </c>
      <c r="F166" s="4" t="n">
        <v>128</v>
      </c>
      <c r="G166" s="4" t="n"/>
      <c r="H166" s="4" t="n"/>
      <c r="I166" s="5">
        <f>IFERROR(E166/F166,"")</f>
        <v/>
      </c>
      <c r="J166" s="2" t="n">
        <v>3</v>
      </c>
      <c r="K166" s="2" t="n">
        <v>2</v>
      </c>
      <c r="L166" s="2" t="n"/>
      <c r="M166" s="2" t="n"/>
      <c r="N166" s="2" t="n"/>
      <c r="O166" s="2" t="n"/>
      <c r="P166" s="2" t="inlineStr">
        <is>
          <t>LISTED</t>
        </is>
      </c>
      <c r="Q166" s="2" t="n"/>
      <c r="R166" s="2" t="n"/>
      <c r="S166" s="2" t="n">
        <v>33.52479662609867</v>
      </c>
      <c r="T166" s="2" t="n">
        <v>-7.659817551519732</v>
      </c>
      <c r="U166" s="3" t="n">
        <v>8572</v>
      </c>
      <c r="V166" s="2" t="inlineStr"/>
      <c r="W166" s="6" t="inlineStr">
        <is>
          <t>https://yakeey.com/fr-ma/achat/biens/152686</t>
        </is>
      </c>
    </row>
    <row r="167">
      <c r="A167" t="inlineStr">
        <is>
          <t>152876</t>
        </is>
      </c>
      <c r="B167" t="inlineStr">
        <is>
          <t>APARTMENT</t>
        </is>
      </c>
      <c r="C167" t="inlineStr">
        <is>
          <t>Palmier (Maarif)</t>
        </is>
      </c>
      <c r="D167" t="inlineStr">
        <is>
          <t>Casablanca</t>
        </is>
      </c>
      <c r="E167" s="7" t="n">
        <v>1986000</v>
      </c>
      <c r="F167" s="8" t="n">
        <v>115</v>
      </c>
      <c r="G167" s="8" t="n"/>
      <c r="H167" s="8" t="n"/>
      <c r="I167" s="9">
        <f>IFERROR(E167/F167,"")</f>
        <v/>
      </c>
      <c r="J167" t="n">
        <v>3</v>
      </c>
      <c r="K167" t="n">
        <v>1</v>
      </c>
      <c r="P167" t="inlineStr">
        <is>
          <t>LISTED</t>
        </is>
      </c>
      <c r="S167" t="n">
        <v>33.58329756571298</v>
      </c>
      <c r="T167" t="n">
        <v>-7.62900588843581</v>
      </c>
      <c r="U167" s="7" t="n">
        <v>11425</v>
      </c>
      <c r="V167" t="inlineStr"/>
      <c r="W167" s="10" t="inlineStr">
        <is>
          <t>https://yakeey.com/fr-ma/achat/biens/152876</t>
        </is>
      </c>
    </row>
    <row r="168">
      <c r="A168" s="2" t="inlineStr">
        <is>
          <t>15326</t>
        </is>
      </c>
      <c r="B168" s="2" t="inlineStr">
        <is>
          <t>APARTMENT</t>
        </is>
      </c>
      <c r="C168" s="2" t="inlineStr">
        <is>
          <t>Racine</t>
        </is>
      </c>
      <c r="D168" s="2" t="inlineStr">
        <is>
          <t>Casablanca</t>
        </is>
      </c>
      <c r="E168" s="3" t="n">
        <v>4600000</v>
      </c>
      <c r="F168" s="4" t="n">
        <v>210</v>
      </c>
      <c r="G168" s="4" t="n"/>
      <c r="H168" s="4" t="n"/>
      <c r="I168" s="5">
        <f>IFERROR(E168/F168,"")</f>
        <v/>
      </c>
      <c r="J168" s="2" t="n">
        <v>3</v>
      </c>
      <c r="K168" s="2" t="n">
        <v>2</v>
      </c>
      <c r="L168" s="2" t="n"/>
      <c r="M168" s="2" t="n"/>
      <c r="N168" s="2" t="n"/>
      <c r="O168" s="2" t="n"/>
      <c r="P168" s="2" t="inlineStr">
        <is>
          <t>LISTED</t>
        </is>
      </c>
      <c r="Q168" s="2" t="n"/>
      <c r="R168" s="2" t="n"/>
      <c r="S168" s="2" t="n">
        <v>33.59203607264754</v>
      </c>
      <c r="T168" s="2" t="n">
        <v>-7.644355931531573</v>
      </c>
      <c r="U168" s="3" t="n">
        <v>26464</v>
      </c>
      <c r="V168" s="2" t="inlineStr"/>
      <c r="W168" s="6" t="inlineStr">
        <is>
          <t>https://yakeey.com/fr-ma/achat/biens/15326</t>
        </is>
      </c>
    </row>
    <row r="169">
      <c r="A169" t="inlineStr">
        <is>
          <t>153300</t>
        </is>
      </c>
      <c r="B169" t="inlineStr">
        <is>
          <t>APARTMENT</t>
        </is>
      </c>
      <c r="C169" t="inlineStr">
        <is>
          <t>Maarif Extension</t>
        </is>
      </c>
      <c r="D169" t="inlineStr">
        <is>
          <t>Casablanca</t>
        </is>
      </c>
      <c r="E169" s="7" t="n">
        <v>6900000</v>
      </c>
      <c r="F169" s="8" t="n">
        <v>570</v>
      </c>
      <c r="G169" s="8" t="n"/>
      <c r="H169" s="8" t="n"/>
      <c r="I169" s="9">
        <f>IFERROR(E169/F169,"")</f>
        <v/>
      </c>
      <c r="J169" t="n">
        <v>4</v>
      </c>
      <c r="K169" t="n">
        <v>4</v>
      </c>
      <c r="P169" t="inlineStr">
        <is>
          <t>LISTED</t>
        </is>
      </c>
      <c r="S169" t="n">
        <v>33.5852036955043</v>
      </c>
      <c r="T169" t="n">
        <v>-7.647656996759586</v>
      </c>
      <c r="U169" s="7" t="n">
        <v>39696</v>
      </c>
      <c r="V169" t="inlineStr"/>
      <c r="W169" s="10" t="inlineStr">
        <is>
          <t>https://yakeey.com/fr-ma/achat/biens/153300</t>
        </is>
      </c>
    </row>
    <row r="170">
      <c r="A170" s="2" t="inlineStr">
        <is>
          <t>153880</t>
        </is>
      </c>
      <c r="B170" s="2" t="inlineStr">
        <is>
          <t>APARTMENT</t>
        </is>
      </c>
      <c r="C170" s="2" t="inlineStr">
        <is>
          <t>Belvedere (Roches Noires)</t>
        </is>
      </c>
      <c r="D170" s="2" t="inlineStr">
        <is>
          <t>Casablanca</t>
        </is>
      </c>
      <c r="E170" s="3" t="n">
        <v>750000</v>
      </c>
      <c r="F170" s="4" t="n">
        <v>88</v>
      </c>
      <c r="G170" s="4" t="n"/>
      <c r="H170" s="4" t="n"/>
      <c r="I170" s="5">
        <f>IFERROR(E170/F170,"")</f>
        <v/>
      </c>
      <c r="J170" s="2" t="n">
        <v>2</v>
      </c>
      <c r="K170" s="2" t="n"/>
      <c r="L170" s="2" t="n"/>
      <c r="M170" s="2" t="n"/>
      <c r="N170" s="2" t="n"/>
      <c r="O170" s="2" t="n"/>
      <c r="P170" s="2" t="inlineStr">
        <is>
          <t>LISTED</t>
        </is>
      </c>
      <c r="Q170" s="2" t="n"/>
      <c r="R170" s="2" t="n"/>
      <c r="S170" s="2" t="n">
        <v>33.59725043993971</v>
      </c>
      <c r="T170" s="2" t="n">
        <v>-7.590488051108471</v>
      </c>
      <c r="U170" s="3" t="n">
        <v>4314</v>
      </c>
      <c r="V170" s="2" t="inlineStr"/>
      <c r="W170" s="6" t="inlineStr">
        <is>
          <t>https://yakeey.com/fr-ma/achat/biens/153880</t>
        </is>
      </c>
    </row>
    <row r="171">
      <c r="A171" t="inlineStr">
        <is>
          <t>153903</t>
        </is>
      </c>
      <c r="B171" t="inlineStr">
        <is>
          <t>APARTMENT</t>
        </is>
      </c>
      <c r="C171" t="inlineStr">
        <is>
          <t>Quartier De Parc Et Place</t>
        </is>
      </c>
      <c r="D171" t="inlineStr">
        <is>
          <t>Casablanca</t>
        </is>
      </c>
      <c r="E171" s="7" t="n">
        <v>2250000</v>
      </c>
      <c r="F171" s="8" t="n">
        <v>207</v>
      </c>
      <c r="G171" s="8" t="n"/>
      <c r="H171" s="8" t="n"/>
      <c r="I171" s="9">
        <f>IFERROR(E171/F171,"")</f>
        <v/>
      </c>
      <c r="J171" t="n">
        <v>3</v>
      </c>
      <c r="K171" t="n">
        <v>2</v>
      </c>
      <c r="P171" t="inlineStr">
        <is>
          <t>LISTED</t>
        </is>
      </c>
      <c r="S171" t="n">
        <v>33.59264429826152</v>
      </c>
      <c r="T171" t="n">
        <v>-7.619804660742818</v>
      </c>
      <c r="U171" s="7" t="n">
        <v>12944</v>
      </c>
      <c r="V171" t="inlineStr"/>
      <c r="W171" s="10" t="inlineStr">
        <is>
          <t>https://yakeey.com/fr-ma/achat/biens/153903</t>
        </is>
      </c>
    </row>
    <row r="172">
      <c r="A172" s="2" t="inlineStr">
        <is>
          <t>153912</t>
        </is>
      </c>
      <c r="B172" s="2" t="inlineStr">
        <is>
          <t>APARTMENT</t>
        </is>
      </c>
      <c r="C172" s="2" t="inlineStr">
        <is>
          <t>Mers Sultan</t>
        </is>
      </c>
      <c r="D172" s="2" t="inlineStr">
        <is>
          <t>Casablanca</t>
        </is>
      </c>
      <c r="E172" s="3" t="n">
        <v>1900000</v>
      </c>
      <c r="F172" s="4" t="n">
        <v>137</v>
      </c>
      <c r="G172" s="4" t="n"/>
      <c r="H172" s="4" t="n"/>
      <c r="I172" s="5">
        <f>IFERROR(E172/F172,"")</f>
        <v/>
      </c>
      <c r="J172" s="2" t="n">
        <v>3</v>
      </c>
      <c r="K172" s="2" t="n">
        <v>2</v>
      </c>
      <c r="L172" s="2" t="n"/>
      <c r="M172" s="2" t="n"/>
      <c r="N172" s="2" t="n"/>
      <c r="O172" s="2" t="n"/>
      <c r="P172" s="2" t="inlineStr">
        <is>
          <t>LISTED</t>
        </is>
      </c>
      <c r="Q172" s="2" t="n"/>
      <c r="R172" s="2" t="n"/>
      <c r="S172" s="2" t="n">
        <v>33.57441574406745</v>
      </c>
      <c r="T172" s="2" t="n">
        <v>-7.611006815556037</v>
      </c>
      <c r="U172" s="3" t="n">
        <v>10930</v>
      </c>
      <c r="V172" s="2" t="inlineStr"/>
      <c r="W172" s="6" t="inlineStr">
        <is>
          <t>https://yakeey.com/fr-ma/achat/biens/153912</t>
        </is>
      </c>
    </row>
    <row r="173">
      <c r="A173" t="inlineStr">
        <is>
          <t>154132</t>
        </is>
      </c>
      <c r="B173" t="inlineStr">
        <is>
          <t>APARTMENT</t>
        </is>
      </c>
      <c r="C173" t="inlineStr">
        <is>
          <t>Moulay Youssef</t>
        </is>
      </c>
      <c r="D173" t="inlineStr">
        <is>
          <t>Casablanca</t>
        </is>
      </c>
      <c r="E173" s="7" t="n">
        <v>4150000</v>
      </c>
      <c r="F173" s="8" t="n">
        <v>232</v>
      </c>
      <c r="G173" s="8" t="n"/>
      <c r="H173" s="8" t="n"/>
      <c r="I173" s="9">
        <f>IFERROR(E173/F173,"")</f>
        <v/>
      </c>
      <c r="J173" t="n">
        <v>3</v>
      </c>
      <c r="K173" t="n">
        <v>2</v>
      </c>
      <c r="P173" t="inlineStr">
        <is>
          <t>LISTED</t>
        </is>
      </c>
      <c r="S173" t="n">
        <v>33.59318360456146</v>
      </c>
      <c r="T173" t="n">
        <v>-7.627641572487468</v>
      </c>
      <c r="U173" s="7" t="n">
        <v>23875</v>
      </c>
      <c r="V173" t="inlineStr"/>
      <c r="W173" s="10" t="inlineStr">
        <is>
          <t>https://yakeey.com/fr-ma/achat/biens/154132</t>
        </is>
      </c>
    </row>
    <row r="174">
      <c r="A174" s="2" t="inlineStr">
        <is>
          <t>154243</t>
        </is>
      </c>
      <c r="B174" s="2" t="inlineStr">
        <is>
          <t>APARTMENT</t>
        </is>
      </c>
      <c r="C174" s="2" t="inlineStr">
        <is>
          <t>Hopitaux</t>
        </is>
      </c>
      <c r="D174" s="2" t="inlineStr">
        <is>
          <t>Casablanca</t>
        </is>
      </c>
      <c r="E174" s="3" t="n">
        <v>1870000</v>
      </c>
      <c r="F174" s="4" t="n">
        <v>152</v>
      </c>
      <c r="G174" s="4" t="n"/>
      <c r="H174" s="4" t="n"/>
      <c r="I174" s="5">
        <f>IFERROR(E174/F174,"")</f>
        <v/>
      </c>
      <c r="J174" s="2" t="n">
        <v>3</v>
      </c>
      <c r="K174" s="2" t="n">
        <v>2</v>
      </c>
      <c r="L174" s="2" t="n"/>
      <c r="M174" s="2" t="n"/>
      <c r="N174" s="2" t="n"/>
      <c r="O174" s="2" t="n"/>
      <c r="P174" s="2" t="inlineStr">
        <is>
          <t>LISTED</t>
        </is>
      </c>
      <c r="Q174" s="2" t="n"/>
      <c r="R174" s="2" t="n"/>
      <c r="S174" s="2" t="n">
        <v>33.56882442679279</v>
      </c>
      <c r="T174" s="2" t="n">
        <v>-7.626894564470855</v>
      </c>
      <c r="U174" s="3" t="n">
        <v>10758</v>
      </c>
      <c r="V174" s="2" t="inlineStr"/>
      <c r="W174" s="6" t="inlineStr">
        <is>
          <t>https://yakeey.com/fr-ma/achat/biens/154243</t>
        </is>
      </c>
    </row>
    <row r="175">
      <c r="A175" t="inlineStr">
        <is>
          <t>154497</t>
        </is>
      </c>
      <c r="B175" t="inlineStr">
        <is>
          <t>APARTMENT</t>
        </is>
      </c>
      <c r="C175" t="inlineStr">
        <is>
          <t>Mandarouna</t>
        </is>
      </c>
      <c r="D175" t="inlineStr">
        <is>
          <t>Casablanca</t>
        </is>
      </c>
      <c r="E175" s="7" t="n">
        <v>2650000</v>
      </c>
      <c r="F175" s="8" t="n">
        <v>176</v>
      </c>
      <c r="G175" s="8" t="n"/>
      <c r="H175" s="8" t="n"/>
      <c r="I175" s="9">
        <f>IFERROR(E175/F175,"")</f>
        <v/>
      </c>
      <c r="J175" t="n">
        <v>3</v>
      </c>
      <c r="K175" t="n">
        <v>2</v>
      </c>
      <c r="P175" t="inlineStr">
        <is>
          <t>LISTED</t>
        </is>
      </c>
      <c r="S175" t="n">
        <v>33.53002591180233</v>
      </c>
      <c r="T175" t="n">
        <v>-7.611876941093162</v>
      </c>
      <c r="U175" s="7" t="n">
        <v>15245</v>
      </c>
      <c r="V175" t="inlineStr"/>
      <c r="W175" s="10" t="inlineStr">
        <is>
          <t>https://yakeey.com/fr-ma/achat/biens/154497</t>
        </is>
      </c>
    </row>
    <row r="176">
      <c r="A176" s="2" t="inlineStr">
        <is>
          <t>154557</t>
        </is>
      </c>
      <c r="B176" s="2" t="inlineStr">
        <is>
          <t>APARTMENT</t>
        </is>
      </c>
      <c r="C176" s="2" t="inlineStr">
        <is>
          <t>Hopitaux</t>
        </is>
      </c>
      <c r="D176" s="2" t="inlineStr">
        <is>
          <t>Casablanca</t>
        </is>
      </c>
      <c r="E176" s="3" t="n">
        <v>2200000</v>
      </c>
      <c r="F176" s="4" t="n">
        <v>194</v>
      </c>
      <c r="G176" s="4" t="n"/>
      <c r="H176" s="4" t="n"/>
      <c r="I176" s="5">
        <f>IFERROR(E176/F176,"")</f>
        <v/>
      </c>
      <c r="J176" s="2" t="n">
        <v>3</v>
      </c>
      <c r="K176" s="2" t="n">
        <v>2</v>
      </c>
      <c r="L176" s="2" t="n"/>
      <c r="M176" s="2" t="n"/>
      <c r="N176" s="2" t="n"/>
      <c r="O176" s="2" t="n"/>
      <c r="P176" s="2" t="inlineStr">
        <is>
          <t>LISTED</t>
        </is>
      </c>
      <c r="Q176" s="2" t="n"/>
      <c r="R176" s="2" t="n"/>
      <c r="S176" s="2" t="n">
        <v>33.57360642341467</v>
      </c>
      <c r="T176" s="2" t="n">
        <v>-7.61819075563783</v>
      </c>
      <c r="U176" s="3" t="n">
        <v>12656</v>
      </c>
      <c r="V176" s="2" t="inlineStr"/>
      <c r="W176" s="6" t="inlineStr">
        <is>
          <t>https://yakeey.com/fr-ma/achat/biens/154557</t>
        </is>
      </c>
    </row>
    <row r="177">
      <c r="A177" t="inlineStr">
        <is>
          <t>154711</t>
        </is>
      </c>
      <c r="B177" t="inlineStr">
        <is>
          <t>APARTMENT</t>
        </is>
      </c>
      <c r="C177" t="inlineStr">
        <is>
          <t>Bourgogne (Anfa)</t>
        </is>
      </c>
      <c r="D177" t="inlineStr">
        <is>
          <t>Casablanca</t>
        </is>
      </c>
      <c r="E177" s="7" t="n">
        <v>2160000</v>
      </c>
      <c r="F177" s="8" t="n">
        <v>120</v>
      </c>
      <c r="G177" s="8" t="n"/>
      <c r="H177" s="8" t="n"/>
      <c r="I177" s="9">
        <f>IFERROR(E177/F177,"")</f>
        <v/>
      </c>
      <c r="J177" t="n">
        <v>3</v>
      </c>
      <c r="K177" t="n">
        <v>1</v>
      </c>
      <c r="P177" t="inlineStr">
        <is>
          <t>LISTED</t>
        </is>
      </c>
      <c r="S177" t="n">
        <v>33.60092190611712</v>
      </c>
      <c r="T177" t="n">
        <v>-7.643573870436432</v>
      </c>
      <c r="U177" s="7" t="n">
        <v>12426</v>
      </c>
      <c r="V177" t="inlineStr"/>
      <c r="W177" s="10" t="inlineStr">
        <is>
          <t>https://yakeey.com/fr-ma/achat/biens/154711</t>
        </is>
      </c>
    </row>
    <row r="178">
      <c r="A178" s="2" t="inlineStr">
        <is>
          <t>155153</t>
        </is>
      </c>
      <c r="B178" s="2" t="inlineStr">
        <is>
          <t>APARTMENT</t>
        </is>
      </c>
      <c r="C178" s="2" t="inlineStr">
        <is>
          <t>Maarif</t>
        </is>
      </c>
      <c r="D178" s="2" t="inlineStr">
        <is>
          <t>Casablanca</t>
        </is>
      </c>
      <c r="E178" s="3" t="n">
        <v>1600000</v>
      </c>
      <c r="F178" s="4" t="n">
        <v>108</v>
      </c>
      <c r="G178" s="4" t="n"/>
      <c r="H178" s="4" t="n"/>
      <c r="I178" s="5">
        <f>IFERROR(E178/F178,"")</f>
        <v/>
      </c>
      <c r="J178" s="2" t="n">
        <v>3</v>
      </c>
      <c r="K178" s="2" t="n">
        <v>2</v>
      </c>
      <c r="L178" s="2" t="n"/>
      <c r="M178" s="2" t="n"/>
      <c r="N178" s="2" t="n"/>
      <c r="O178" s="2" t="n"/>
      <c r="P178" s="2" t="inlineStr">
        <is>
          <t>LISTED</t>
        </is>
      </c>
      <c r="Q178" s="2" t="n"/>
      <c r="R178" s="2" t="n"/>
      <c r="S178" s="2" t="n">
        <v>33.58175592683198</v>
      </c>
      <c r="T178" s="2" t="n">
        <v>-7.634042261189054</v>
      </c>
      <c r="U178" s="3" t="n">
        <v>9204</v>
      </c>
      <c r="V178" s="2" t="inlineStr"/>
      <c r="W178" s="6" t="inlineStr">
        <is>
          <t>https://yakeey.com/fr-ma/achat/biens/155153</t>
        </is>
      </c>
    </row>
    <row r="179">
      <c r="A179" t="inlineStr">
        <is>
          <t>155186</t>
        </is>
      </c>
      <c r="B179" t="inlineStr">
        <is>
          <t>APARTMENT</t>
        </is>
      </c>
      <c r="C179" t="inlineStr">
        <is>
          <t>Cil</t>
        </is>
      </c>
      <c r="D179" t="inlineStr">
        <is>
          <t>Casablanca</t>
        </is>
      </c>
      <c r="E179" s="7" t="n">
        <v>2466000</v>
      </c>
      <c r="F179" s="8" t="n">
        <v>161</v>
      </c>
      <c r="G179" s="8" t="n"/>
      <c r="H179" s="8" t="n"/>
      <c r="I179" s="9">
        <f>IFERROR(E179/F179,"")</f>
        <v/>
      </c>
      <c r="J179" t="n">
        <v>3</v>
      </c>
      <c r="K179" t="n">
        <v>2</v>
      </c>
      <c r="P179" t="inlineStr">
        <is>
          <t>LISTED</t>
        </is>
      </c>
      <c r="S179" t="n">
        <v>33.5688281581268</v>
      </c>
      <c r="T179" t="n">
        <v>-7.655868713727355</v>
      </c>
      <c r="U179" s="7" t="n">
        <v>14187</v>
      </c>
      <c r="V179" t="inlineStr"/>
      <c r="W179" s="10" t="inlineStr">
        <is>
          <t>https://yakeey.com/fr-ma/achat/biens/155186</t>
        </is>
      </c>
    </row>
    <row r="180">
      <c r="A180" s="2" t="inlineStr">
        <is>
          <t>155662</t>
        </is>
      </c>
      <c r="B180" s="2" t="inlineStr">
        <is>
          <t>APARTMENT</t>
        </is>
      </c>
      <c r="C180" s="2" t="inlineStr">
        <is>
          <t>Ain Sebaa</t>
        </is>
      </c>
      <c r="D180" s="2" t="inlineStr">
        <is>
          <t>Casablanca</t>
        </is>
      </c>
      <c r="E180" s="3" t="n">
        <v>900000</v>
      </c>
      <c r="F180" s="4" t="n">
        <v>104</v>
      </c>
      <c r="G180" s="4" t="n"/>
      <c r="H180" s="4" t="n"/>
      <c r="I180" s="5">
        <f>IFERROR(E180/F180,"")</f>
        <v/>
      </c>
      <c r="J180" s="2" t="n">
        <v>3</v>
      </c>
      <c r="K180" s="2" t="n">
        <v>1</v>
      </c>
      <c r="L180" s="2" t="n"/>
      <c r="M180" s="2" t="n"/>
      <c r="N180" s="2" t="n"/>
      <c r="O180" s="2" t="n"/>
      <c r="P180" s="2" t="inlineStr">
        <is>
          <t>LISTED</t>
        </is>
      </c>
      <c r="Q180" s="2" t="n"/>
      <c r="R180" s="2" t="n"/>
      <c r="S180" s="2" t="n">
        <v>33.60650779795549</v>
      </c>
      <c r="T180" s="2" t="n">
        <v>-7.522127018198608</v>
      </c>
      <c r="U180" s="3" t="n">
        <v>5177</v>
      </c>
      <c r="V180" s="2" t="inlineStr"/>
      <c r="W180" s="6" t="inlineStr">
        <is>
          <t>https://yakeey.com/fr-ma/achat/biens/155662</t>
        </is>
      </c>
    </row>
    <row r="181">
      <c r="A181" t="inlineStr">
        <is>
          <t>155774</t>
        </is>
      </c>
      <c r="B181" t="inlineStr">
        <is>
          <t>APARTMENT</t>
        </is>
      </c>
      <c r="C181" t="inlineStr">
        <is>
          <t>Val Fleuri</t>
        </is>
      </c>
      <c r="D181" t="inlineStr">
        <is>
          <t>Casablanca</t>
        </is>
      </c>
      <c r="E181" s="7" t="n">
        <v>2300000</v>
      </c>
      <c r="F181" s="8" t="n">
        <v>115</v>
      </c>
      <c r="G181" s="8" t="n"/>
      <c r="H181" s="8" t="n"/>
      <c r="I181" s="9">
        <f>IFERROR(E181/F181,"")</f>
        <v/>
      </c>
      <c r="J181" t="n">
        <v>2</v>
      </c>
      <c r="K181" t="n">
        <v>2</v>
      </c>
      <c r="P181" t="inlineStr">
        <is>
          <t>LISTED</t>
        </is>
      </c>
      <c r="S181" t="n">
        <v>33.57224416568525</v>
      </c>
      <c r="T181" t="n">
        <v>-7.636332954534196</v>
      </c>
      <c r="U181" s="7" t="n">
        <v>13232</v>
      </c>
      <c r="V181" t="inlineStr"/>
      <c r="W181" s="10" t="inlineStr">
        <is>
          <t>https://yakeey.com/fr-ma/achat/biens/155774</t>
        </is>
      </c>
    </row>
    <row r="182">
      <c r="A182" s="2" t="inlineStr">
        <is>
          <t>155876</t>
        </is>
      </c>
      <c r="B182" s="2" t="inlineStr">
        <is>
          <t>APARTMENT</t>
        </is>
      </c>
      <c r="C182" s="2" t="inlineStr">
        <is>
          <t>Sidi Othmane</t>
        </is>
      </c>
      <c r="D182" s="2" t="inlineStr">
        <is>
          <t>Casablanca</t>
        </is>
      </c>
      <c r="E182" s="3" t="n">
        <v>785000</v>
      </c>
      <c r="F182" s="4" t="n">
        <v>95</v>
      </c>
      <c r="G182" s="4" t="n"/>
      <c r="H182" s="4" t="n"/>
      <c r="I182" s="5">
        <f>IFERROR(E182/F182,"")</f>
        <v/>
      </c>
      <c r="J182" s="2" t="n">
        <v>2</v>
      </c>
      <c r="K182" s="2" t="n">
        <v>1</v>
      </c>
      <c r="L182" s="2" t="n"/>
      <c r="M182" s="2" t="n"/>
      <c r="N182" s="2" t="n"/>
      <c r="O182" s="2" t="n"/>
      <c r="P182" s="2" t="inlineStr">
        <is>
          <t>LISTED</t>
        </is>
      </c>
      <c r="Q182" s="2" t="n"/>
      <c r="R182" s="2" t="n"/>
      <c r="S182" s="2" t="n">
        <v>33.56913186675961</v>
      </c>
      <c r="T182" s="2" t="n">
        <v>-7.546578721723011</v>
      </c>
      <c r="U182" s="3" t="n">
        <v>4516</v>
      </c>
      <c r="V182" s="2" t="inlineStr"/>
      <c r="W182" s="6" t="inlineStr">
        <is>
          <t>https://yakeey.com/fr-ma/achat/biens/155876</t>
        </is>
      </c>
    </row>
    <row r="183">
      <c r="A183" t="inlineStr">
        <is>
          <t>155910</t>
        </is>
      </c>
      <c r="B183" t="inlineStr">
        <is>
          <t>APARTMENT</t>
        </is>
      </c>
      <c r="C183" t="inlineStr">
        <is>
          <t>Palmier (Maarif)</t>
        </is>
      </c>
      <c r="D183" t="inlineStr">
        <is>
          <t>Casablanca</t>
        </is>
      </c>
      <c r="E183" s="7" t="n">
        <v>2460000</v>
      </c>
      <c r="F183" s="8" t="n">
        <v>197</v>
      </c>
      <c r="G183" s="8" t="n"/>
      <c r="H183" s="8" t="n"/>
      <c r="I183" s="9">
        <f>IFERROR(E183/F183,"")</f>
        <v/>
      </c>
      <c r="J183" t="n">
        <v>4</v>
      </c>
      <c r="K183" t="n">
        <v>3</v>
      </c>
      <c r="P183" t="inlineStr">
        <is>
          <t>LISTED</t>
        </is>
      </c>
      <c r="S183" t="n">
        <v>33.5786097132398</v>
      </c>
      <c r="T183" t="n">
        <v>-7.625969662893007</v>
      </c>
      <c r="U183" s="7" t="n">
        <v>14152</v>
      </c>
      <c r="V183" t="inlineStr"/>
      <c r="W183" s="10" t="inlineStr">
        <is>
          <t>https://yakeey.com/fr-ma/achat/biens/155910</t>
        </is>
      </c>
    </row>
    <row r="184">
      <c r="A184" s="2" t="inlineStr">
        <is>
          <t>15615</t>
        </is>
      </c>
      <c r="B184" s="2" t="inlineStr">
        <is>
          <t>APARTMENT</t>
        </is>
      </c>
      <c r="C184" s="2" t="inlineStr">
        <is>
          <t>Bachkou</t>
        </is>
      </c>
      <c r="D184" s="2" t="inlineStr">
        <is>
          <t>Casablanca</t>
        </is>
      </c>
      <c r="E184" s="3" t="n">
        <v>2400000</v>
      </c>
      <c r="F184" s="4" t="n">
        <v>199</v>
      </c>
      <c r="G184" s="4" t="n"/>
      <c r="H184" s="4" t="n"/>
      <c r="I184" s="5">
        <f>IFERROR(E184/F184,"")</f>
        <v/>
      </c>
      <c r="J184" s="2" t="n">
        <v>3</v>
      </c>
      <c r="K184" s="2" t="n">
        <v>2</v>
      </c>
      <c r="L184" s="2" t="n"/>
      <c r="M184" s="2" t="n"/>
      <c r="N184" s="2" t="n"/>
      <c r="O184" s="2" t="n"/>
      <c r="P184" s="2" t="inlineStr">
        <is>
          <t>LISTED</t>
        </is>
      </c>
      <c r="Q184" s="2" t="n"/>
      <c r="R184" s="2" t="n"/>
      <c r="S184" s="2" t="n">
        <v>33.55460343100292</v>
      </c>
      <c r="T184" s="2" t="n">
        <v>-7.624592400138963</v>
      </c>
      <c r="U184" s="3" t="n">
        <v>13807</v>
      </c>
      <c r="V184" s="2" t="inlineStr"/>
      <c r="W184" s="6" t="inlineStr">
        <is>
          <t>https://yakeey.com/fr-ma/achat/biens/15615</t>
        </is>
      </c>
    </row>
    <row r="185">
      <c r="A185" t="inlineStr">
        <is>
          <t>156490</t>
        </is>
      </c>
      <c r="B185" t="inlineStr">
        <is>
          <t>APARTMENT</t>
        </is>
      </c>
      <c r="C185" t="inlineStr">
        <is>
          <t>Sidi Othmane</t>
        </is>
      </c>
      <c r="D185" t="inlineStr">
        <is>
          <t>Casablanca</t>
        </is>
      </c>
      <c r="E185" s="7" t="n">
        <v>1100000</v>
      </c>
      <c r="F185" s="8" t="n">
        <v>102</v>
      </c>
      <c r="G185" s="8" t="n"/>
      <c r="H185" s="8" t="n"/>
      <c r="I185" s="9">
        <f>IFERROR(E185/F185,"")</f>
        <v/>
      </c>
      <c r="J185" t="n">
        <v>2</v>
      </c>
      <c r="K185" t="n">
        <v>2</v>
      </c>
      <c r="P185" t="inlineStr">
        <is>
          <t>LISTED</t>
        </is>
      </c>
      <c r="S185" t="n">
        <v>33.56530408482607</v>
      </c>
      <c r="T185" t="n">
        <v>-7.579597036334336</v>
      </c>
      <c r="U185" s="7" t="n">
        <v>6328</v>
      </c>
      <c r="V185" t="inlineStr"/>
      <c r="W185" s="10" t="inlineStr">
        <is>
          <t>https://yakeey.com/fr-ma/achat/biens/156490</t>
        </is>
      </c>
    </row>
    <row r="186">
      <c r="A186" s="2" t="inlineStr">
        <is>
          <t>157017</t>
        </is>
      </c>
      <c r="B186" s="2" t="inlineStr">
        <is>
          <t>APARTMENT</t>
        </is>
      </c>
      <c r="C186" s="2" t="inlineStr">
        <is>
          <t>Oulfa</t>
        </is>
      </c>
      <c r="D186" s="2" t="inlineStr">
        <is>
          <t>Casablanca</t>
        </is>
      </c>
      <c r="E186" s="3" t="n">
        <v>950000</v>
      </c>
      <c r="F186" s="4" t="n">
        <v>70</v>
      </c>
      <c r="G186" s="4" t="n"/>
      <c r="H186" s="4" t="n"/>
      <c r="I186" s="5">
        <f>IFERROR(E186/F186,"")</f>
        <v/>
      </c>
      <c r="J186" s="2" t="n">
        <v>3</v>
      </c>
      <c r="K186" s="2" t="n">
        <v>1</v>
      </c>
      <c r="L186" s="2" t="n"/>
      <c r="M186" s="2" t="n"/>
      <c r="N186" s="2" t="n"/>
      <c r="O186" s="2" t="n"/>
      <c r="P186" s="2" t="inlineStr">
        <is>
          <t>LISTED</t>
        </is>
      </c>
      <c r="Q186" s="2" t="n"/>
      <c r="R186" s="2" t="n"/>
      <c r="S186" s="2" t="n">
        <v>33.5405046108494</v>
      </c>
      <c r="T186" s="2" t="n">
        <v>-7.682408893825817</v>
      </c>
      <c r="U186" s="3" t="n">
        <v>5465</v>
      </c>
      <c r="V186" s="2" t="inlineStr"/>
      <c r="W186" s="6" t="inlineStr">
        <is>
          <t>https://yakeey.com/fr-ma/achat/biens/157017</t>
        </is>
      </c>
    </row>
    <row r="187">
      <c r="A187" t="inlineStr">
        <is>
          <t>157034</t>
        </is>
      </c>
      <c r="B187" t="inlineStr">
        <is>
          <t>APARTMENT</t>
        </is>
      </c>
      <c r="C187" t="inlineStr">
        <is>
          <t>Mers Sultan</t>
        </is>
      </c>
      <c r="D187" t="inlineStr">
        <is>
          <t>Casablanca</t>
        </is>
      </c>
      <c r="E187" s="7" t="n">
        <v>2300000</v>
      </c>
      <c r="F187" s="8" t="n">
        <v>175</v>
      </c>
      <c r="G187" s="8" t="n"/>
      <c r="H187" s="8" t="n"/>
      <c r="I187" s="9">
        <f>IFERROR(E187/F187,"")</f>
        <v/>
      </c>
      <c r="J187" t="n">
        <v>3</v>
      </c>
      <c r="K187" t="n">
        <v>2</v>
      </c>
      <c r="P187" t="inlineStr">
        <is>
          <t>LISTED</t>
        </is>
      </c>
      <c r="S187" t="n">
        <v>33.57585012938318</v>
      </c>
      <c r="T187" t="n">
        <v>-7.61335394693021</v>
      </c>
      <c r="U187" s="7" t="n">
        <v>13232</v>
      </c>
      <c r="V187" t="inlineStr"/>
      <c r="W187" s="10" t="inlineStr">
        <is>
          <t>https://yakeey.com/fr-ma/achat/biens/157034</t>
        </is>
      </c>
    </row>
    <row r="188">
      <c r="A188" s="2" t="inlineStr">
        <is>
          <t>157062</t>
        </is>
      </c>
      <c r="B188" s="2" t="inlineStr">
        <is>
          <t>APARTMENT</t>
        </is>
      </c>
      <c r="C188" s="2" t="inlineStr">
        <is>
          <t>Oasis</t>
        </is>
      </c>
      <c r="D188" s="2" t="inlineStr">
        <is>
          <t>Casablanca</t>
        </is>
      </c>
      <c r="E188" s="3" t="n">
        <v>3100000</v>
      </c>
      <c r="F188" s="4" t="n">
        <v>131</v>
      </c>
      <c r="G188" s="4" t="n"/>
      <c r="H188" s="4" t="n"/>
      <c r="I188" s="5">
        <f>IFERROR(E188/F188,"")</f>
        <v/>
      </c>
      <c r="J188" s="2" t="n">
        <v>3</v>
      </c>
      <c r="K188" s="2" t="n">
        <v>3</v>
      </c>
      <c r="L188" s="2" t="n"/>
      <c r="M188" s="2" t="n"/>
      <c r="N188" s="2" t="n"/>
      <c r="O188" s="2" t="n"/>
      <c r="P188" s="2" t="inlineStr">
        <is>
          <t>LISTED</t>
        </is>
      </c>
      <c r="Q188" s="2" t="n"/>
      <c r="R188" s="2" t="n"/>
      <c r="S188" s="2" t="n">
        <v>33.54854104752424</v>
      </c>
      <c r="T188" s="2" t="n">
        <v>-7.633262828169984</v>
      </c>
      <c r="U188" s="3" t="n">
        <v>17834</v>
      </c>
      <c r="V188" s="2" t="inlineStr"/>
      <c r="W188" s="6" t="inlineStr">
        <is>
          <t>https://yakeey.com/fr-ma/achat/biens/157062</t>
        </is>
      </c>
    </row>
    <row r="189">
      <c r="A189" t="inlineStr">
        <is>
          <t>15713</t>
        </is>
      </c>
      <c r="B189" t="inlineStr">
        <is>
          <t>APARTMENT</t>
        </is>
      </c>
      <c r="C189" t="inlineStr">
        <is>
          <t>Sidi Bernoussi</t>
        </is>
      </c>
      <c r="D189" t="inlineStr">
        <is>
          <t>Casablanca</t>
        </is>
      </c>
      <c r="E189" s="7" t="n">
        <v>750000</v>
      </c>
      <c r="F189" s="8" t="n">
        <v>67</v>
      </c>
      <c r="G189" s="8" t="n"/>
      <c r="H189" s="8" t="n"/>
      <c r="I189" s="9">
        <f>IFERROR(E189/F189,"")</f>
        <v/>
      </c>
      <c r="J189" t="n">
        <v>2</v>
      </c>
      <c r="K189" t="n">
        <v>1</v>
      </c>
      <c r="P189" t="inlineStr">
        <is>
          <t>LISTED</t>
        </is>
      </c>
      <c r="S189" t="n">
        <v>33.61244811120411</v>
      </c>
      <c r="T189" t="n">
        <v>-7.501013850258714</v>
      </c>
      <c r="U189" s="7" t="n">
        <v>4314</v>
      </c>
      <c r="V189" t="inlineStr"/>
      <c r="W189" s="10" t="inlineStr">
        <is>
          <t>https://yakeey.com/fr-ma/achat/biens/15713</t>
        </is>
      </c>
    </row>
    <row r="190">
      <c r="A190" s="2" t="inlineStr">
        <is>
          <t>15715</t>
        </is>
      </c>
      <c r="B190" s="2" t="inlineStr">
        <is>
          <t>APARTMENT</t>
        </is>
      </c>
      <c r="C190" s="2" t="inlineStr">
        <is>
          <t>Sidi Bernoussi</t>
        </is>
      </c>
      <c r="D190" s="2" t="inlineStr">
        <is>
          <t>Casablanca</t>
        </is>
      </c>
      <c r="E190" s="3" t="n">
        <v>750000</v>
      </c>
      <c r="F190" s="4" t="n">
        <v>67</v>
      </c>
      <c r="G190" s="4" t="n"/>
      <c r="H190" s="4" t="n"/>
      <c r="I190" s="5">
        <f>IFERROR(E190/F190,"")</f>
        <v/>
      </c>
      <c r="J190" s="2" t="n">
        <v>2</v>
      </c>
      <c r="K190" s="2" t="n">
        <v>1</v>
      </c>
      <c r="L190" s="2" t="n"/>
      <c r="M190" s="2" t="n"/>
      <c r="N190" s="2" t="n"/>
      <c r="O190" s="2" t="n"/>
      <c r="P190" s="2" t="inlineStr">
        <is>
          <t>LISTED</t>
        </is>
      </c>
      <c r="Q190" s="2" t="n"/>
      <c r="R190" s="2" t="n"/>
      <c r="S190" s="2" t="n">
        <v>33.61149990775189</v>
      </c>
      <c r="T190" s="2" t="n">
        <v>-7.503204353469846</v>
      </c>
      <c r="U190" s="3" t="n">
        <v>4314</v>
      </c>
      <c r="V190" s="2" t="inlineStr"/>
      <c r="W190" s="6" t="inlineStr">
        <is>
          <t>https://yakeey.com/fr-ma/achat/biens/15715</t>
        </is>
      </c>
    </row>
    <row r="191">
      <c r="A191" t="inlineStr">
        <is>
          <t>15717</t>
        </is>
      </c>
      <c r="B191" t="inlineStr">
        <is>
          <t>APARTMENT</t>
        </is>
      </c>
      <c r="C191" t="inlineStr">
        <is>
          <t>Sidi Bernoussi</t>
        </is>
      </c>
      <c r="D191" t="inlineStr">
        <is>
          <t>Casablanca</t>
        </is>
      </c>
      <c r="E191" s="7" t="n">
        <v>750000</v>
      </c>
      <c r="F191" s="8" t="n">
        <v>67</v>
      </c>
      <c r="G191" s="8" t="n"/>
      <c r="H191" s="8" t="n"/>
      <c r="I191" s="9">
        <f>IFERROR(E191/F191,"")</f>
        <v/>
      </c>
      <c r="J191" t="n">
        <v>2</v>
      </c>
      <c r="K191" t="n">
        <v>1</v>
      </c>
      <c r="P191" t="inlineStr">
        <is>
          <t>LISTED</t>
        </is>
      </c>
      <c r="S191" t="n">
        <v>33.61291026204833</v>
      </c>
      <c r="T191" t="n">
        <v>-7.502528670470133</v>
      </c>
      <c r="U191" s="7" t="n">
        <v>4314</v>
      </c>
      <c r="V191" t="inlineStr"/>
      <c r="W191" s="10" t="inlineStr">
        <is>
          <t>https://yakeey.com/fr-ma/achat/biens/15717</t>
        </is>
      </c>
    </row>
    <row r="192">
      <c r="A192" s="2" t="inlineStr">
        <is>
          <t>157216</t>
        </is>
      </c>
      <c r="B192" s="2" t="inlineStr">
        <is>
          <t>APARTMENT</t>
        </is>
      </c>
      <c r="C192" s="2" t="inlineStr">
        <is>
          <t>Maarif Extension</t>
        </is>
      </c>
      <c r="D192" s="2" t="inlineStr">
        <is>
          <t>Casablanca</t>
        </is>
      </c>
      <c r="E192" s="3" t="n">
        <v>1900000</v>
      </c>
      <c r="F192" s="4" t="n">
        <v>144</v>
      </c>
      <c r="G192" s="4" t="n"/>
      <c r="H192" s="4" t="n"/>
      <c r="I192" s="5">
        <f>IFERROR(E192/F192,"")</f>
        <v/>
      </c>
      <c r="J192" s="2" t="n">
        <v>3</v>
      </c>
      <c r="K192" s="2" t="n">
        <v>2</v>
      </c>
      <c r="L192" s="2" t="n"/>
      <c r="M192" s="2" t="n"/>
      <c r="N192" s="2" t="n"/>
      <c r="O192" s="2" t="n"/>
      <c r="P192" s="2" t="inlineStr">
        <is>
          <t>LISTED</t>
        </is>
      </c>
      <c r="Q192" s="2" t="n"/>
      <c r="R192" s="2" t="n"/>
      <c r="S192" s="2" t="n">
        <v>33.57781509487462</v>
      </c>
      <c r="T192" s="2" t="n">
        <v>-7.641557322931824</v>
      </c>
      <c r="U192" s="3" t="n">
        <v>10930</v>
      </c>
      <c r="V192" s="2" t="inlineStr"/>
      <c r="W192" s="6" t="inlineStr">
        <is>
          <t>https://yakeey.com/fr-ma/achat/biens/157216</t>
        </is>
      </c>
    </row>
    <row r="193">
      <c r="A193" t="inlineStr">
        <is>
          <t>157516</t>
        </is>
      </c>
      <c r="B193" t="inlineStr">
        <is>
          <t>APARTMENT</t>
        </is>
      </c>
      <c r="C193" t="inlineStr">
        <is>
          <t>Sidi Othmane</t>
        </is>
      </c>
      <c r="D193" t="inlineStr">
        <is>
          <t>Casablanca</t>
        </is>
      </c>
      <c r="E193" s="7" t="n">
        <v>935000</v>
      </c>
      <c r="F193" s="8" t="n">
        <v>84</v>
      </c>
      <c r="G193" s="8" t="n"/>
      <c r="H193" s="8" t="n"/>
      <c r="I193" s="9">
        <f>IFERROR(E193/F193,"")</f>
        <v/>
      </c>
      <c r="J193" t="n">
        <v>2</v>
      </c>
      <c r="K193" t="n">
        <v>2</v>
      </c>
      <c r="P193" t="inlineStr">
        <is>
          <t>LISTED</t>
        </is>
      </c>
      <c r="S193" t="n">
        <v>33.56277784673469</v>
      </c>
      <c r="T193" t="n">
        <v>-7.5574756895925</v>
      </c>
      <c r="U193" s="7" t="n">
        <v>5379</v>
      </c>
      <c r="V193" t="inlineStr"/>
      <c r="W193" s="10" t="inlineStr">
        <is>
          <t>https://yakeey.com/fr-ma/achat/biens/157516</t>
        </is>
      </c>
    </row>
    <row r="194">
      <c r="A194" s="2" t="inlineStr">
        <is>
          <t>157649</t>
        </is>
      </c>
      <c r="B194" s="2" t="inlineStr">
        <is>
          <t>APARTMENT</t>
        </is>
      </c>
      <c r="C194" s="2" t="inlineStr">
        <is>
          <t>Ibn Tachfine</t>
        </is>
      </c>
      <c r="D194" s="2" t="inlineStr">
        <is>
          <t>Casablanca</t>
        </is>
      </c>
      <c r="E194" s="3" t="n">
        <v>1100000</v>
      </c>
      <c r="F194" s="4" t="n">
        <v>88</v>
      </c>
      <c r="G194" s="4" t="n"/>
      <c r="H194" s="4" t="n"/>
      <c r="I194" s="5">
        <f>IFERROR(E194/F194,"")</f>
        <v/>
      </c>
      <c r="J194" s="2" t="n">
        <v>2</v>
      </c>
      <c r="K194" s="2" t="n">
        <v>1</v>
      </c>
      <c r="L194" s="2" t="n"/>
      <c r="M194" s="2" t="n"/>
      <c r="N194" s="2" t="n"/>
      <c r="O194" s="2" t="n"/>
      <c r="P194" s="2" t="inlineStr">
        <is>
          <t>LISTED</t>
        </is>
      </c>
      <c r="Q194" s="2" t="n"/>
      <c r="R194" s="2" t="n"/>
      <c r="S194" s="2" t="n">
        <v>33.58601604047961</v>
      </c>
      <c r="T194" s="2" t="n">
        <v>-7.589813411222883</v>
      </c>
      <c r="U194" s="3" t="n">
        <v>6328</v>
      </c>
      <c r="V194" s="2" t="inlineStr"/>
      <c r="W194" s="6" t="inlineStr">
        <is>
          <t>https://yakeey.com/fr-ma/achat/biens/157649</t>
        </is>
      </c>
    </row>
    <row r="195">
      <c r="A195" t="inlineStr">
        <is>
          <t>157729</t>
        </is>
      </c>
      <c r="B195" t="inlineStr">
        <is>
          <t>APARTMENT</t>
        </is>
      </c>
      <c r="C195" t="inlineStr">
        <is>
          <t>Beausejour</t>
        </is>
      </c>
      <c r="D195" t="inlineStr">
        <is>
          <t>Casablanca</t>
        </is>
      </c>
      <c r="E195" s="7" t="n">
        <v>990000</v>
      </c>
      <c r="F195" s="8" t="n">
        <v>82</v>
      </c>
      <c r="G195" s="8" t="n"/>
      <c r="H195" s="8" t="n"/>
      <c r="I195" s="9">
        <f>IFERROR(E195/F195,"")</f>
        <v/>
      </c>
      <c r="J195" t="n">
        <v>2</v>
      </c>
      <c r="K195" t="n">
        <v>1</v>
      </c>
      <c r="P195" t="inlineStr">
        <is>
          <t>LISTED</t>
        </is>
      </c>
      <c r="S195" t="n">
        <v>33.56739543381238</v>
      </c>
      <c r="T195" t="n">
        <v>-7.65170843717915</v>
      </c>
      <c r="U195" s="7" t="n">
        <v>5695</v>
      </c>
      <c r="V195" t="inlineStr"/>
      <c r="W195" s="10" t="inlineStr">
        <is>
          <t>https://yakeey.com/fr-ma/achat/biens/157729</t>
        </is>
      </c>
    </row>
    <row r="196">
      <c r="A196" s="2" t="inlineStr">
        <is>
          <t>158361</t>
        </is>
      </c>
      <c r="B196" s="2" t="inlineStr">
        <is>
          <t>APARTMENT</t>
        </is>
      </c>
      <c r="C196" s="2" t="inlineStr">
        <is>
          <t>Hopitaux</t>
        </is>
      </c>
      <c r="D196" s="2" t="inlineStr">
        <is>
          <t>Casablanca</t>
        </is>
      </c>
      <c r="E196" s="3" t="n">
        <v>1500000</v>
      </c>
      <c r="F196" s="4" t="n">
        <v>116</v>
      </c>
      <c r="G196" s="4" t="n"/>
      <c r="H196" s="4" t="n"/>
      <c r="I196" s="5">
        <f>IFERROR(E196/F196,"")</f>
        <v/>
      </c>
      <c r="J196" s="2" t="n">
        <v>2</v>
      </c>
      <c r="K196" s="2" t="n">
        <v>2</v>
      </c>
      <c r="L196" s="2" t="n"/>
      <c r="M196" s="2" t="n"/>
      <c r="N196" s="2" t="n"/>
      <c r="O196" s="2" t="n"/>
      <c r="P196" s="2" t="inlineStr">
        <is>
          <t>LISTED</t>
        </is>
      </c>
      <c r="Q196" s="2" t="n"/>
      <c r="R196" s="2" t="n"/>
      <c r="S196" s="2" t="n">
        <v>33.56886725428135</v>
      </c>
      <c r="T196" s="2" t="n">
        <v>-7.625127663239509</v>
      </c>
      <c r="U196" s="3" t="n">
        <v>8629</v>
      </c>
      <c r="V196" s="2" t="inlineStr"/>
      <c r="W196" s="6" t="inlineStr">
        <is>
          <t>https://yakeey.com/fr-ma/achat/biens/158361</t>
        </is>
      </c>
    </row>
    <row r="197">
      <c r="A197" t="inlineStr">
        <is>
          <t>158389</t>
        </is>
      </c>
      <c r="B197" t="inlineStr">
        <is>
          <t>APARTMENT</t>
        </is>
      </c>
      <c r="C197" t="inlineStr">
        <is>
          <t>La Gironde</t>
        </is>
      </c>
      <c r="D197" t="inlineStr">
        <is>
          <t>Casablanca</t>
        </is>
      </c>
      <c r="E197" s="7" t="n">
        <v>1500000</v>
      </c>
      <c r="F197" s="8" t="n">
        <v>147</v>
      </c>
      <c r="G197" s="8" t="n"/>
      <c r="H197" s="8" t="n"/>
      <c r="I197" s="9">
        <f>IFERROR(E197/F197,"")</f>
        <v/>
      </c>
      <c r="J197" t="n">
        <v>3</v>
      </c>
      <c r="K197" t="n">
        <v>2</v>
      </c>
      <c r="P197" t="inlineStr">
        <is>
          <t>LISTED</t>
        </is>
      </c>
      <c r="S197" t="n">
        <v>33.58473721590378</v>
      </c>
      <c r="T197" t="n">
        <v>-7.606194698703447</v>
      </c>
      <c r="U197" s="7" t="n">
        <v>8629</v>
      </c>
      <c r="V197" t="inlineStr"/>
      <c r="W197" s="10" t="inlineStr">
        <is>
          <t>https://yakeey.com/fr-ma/achat/biens/158389</t>
        </is>
      </c>
    </row>
    <row r="198">
      <c r="A198" s="2" t="inlineStr">
        <is>
          <t>158533</t>
        </is>
      </c>
      <c r="B198" s="2" t="inlineStr">
        <is>
          <t>APARTMENT</t>
        </is>
      </c>
      <c r="C198" s="2" t="inlineStr">
        <is>
          <t>Bourgogne (Anfa)</t>
        </is>
      </c>
      <c r="D198" s="2" t="inlineStr">
        <is>
          <t>Casablanca</t>
        </is>
      </c>
      <c r="E198" s="3" t="n">
        <v>1850000</v>
      </c>
      <c r="F198" s="4" t="n">
        <v>158</v>
      </c>
      <c r="G198" s="4" t="n"/>
      <c r="H198" s="4" t="n"/>
      <c r="I198" s="5">
        <f>IFERROR(E198/F198,"")</f>
        <v/>
      </c>
      <c r="J198" s="2" t="n">
        <v>3</v>
      </c>
      <c r="K198" s="2" t="n">
        <v>2</v>
      </c>
      <c r="L198" s="2" t="n"/>
      <c r="M198" s="2" t="n"/>
      <c r="N198" s="2" t="n"/>
      <c r="O198" s="2" t="n"/>
      <c r="P198" s="2" t="inlineStr">
        <is>
          <t>LISTED</t>
        </is>
      </c>
      <c r="Q198" s="2" t="n"/>
      <c r="R198" s="2" t="n"/>
      <c r="S198" s="2" t="n">
        <v>33.60087539099514</v>
      </c>
      <c r="T198" s="2" t="n">
        <v>-7.644957164076276</v>
      </c>
      <c r="U198" s="3" t="n">
        <v>10643</v>
      </c>
      <c r="V198" s="2" t="inlineStr"/>
      <c r="W198" s="6" t="inlineStr">
        <is>
          <t>https://yakeey.com/fr-ma/achat/biens/158533</t>
        </is>
      </c>
    </row>
    <row r="199">
      <c r="A199" t="inlineStr">
        <is>
          <t>158665</t>
        </is>
      </c>
      <c r="B199" t="inlineStr">
        <is>
          <t>APARTMENT</t>
        </is>
      </c>
      <c r="C199" t="inlineStr">
        <is>
          <t>Oulfa</t>
        </is>
      </c>
      <c r="D199" t="inlineStr">
        <is>
          <t>Casablanca</t>
        </is>
      </c>
      <c r="E199" s="7" t="n">
        <v>860000</v>
      </c>
      <c r="F199" s="8" t="n">
        <v>86</v>
      </c>
      <c r="G199" s="8" t="n"/>
      <c r="H199" s="8" t="n"/>
      <c r="I199" s="9">
        <f>IFERROR(E199/F199,"")</f>
        <v/>
      </c>
      <c r="J199" t="n">
        <v>3</v>
      </c>
      <c r="K199" t="n">
        <v>1</v>
      </c>
      <c r="P199" t="inlineStr">
        <is>
          <t>LISTED</t>
        </is>
      </c>
      <c r="S199" t="n">
        <v>33.55443276840019</v>
      </c>
      <c r="T199" t="n">
        <v>-7.680636916436425</v>
      </c>
      <c r="U199" s="7" t="n">
        <v>4947</v>
      </c>
      <c r="V199" t="inlineStr"/>
      <c r="W199" s="10" t="inlineStr">
        <is>
          <t>https://yakeey.com/fr-ma/achat/biens/158665</t>
        </is>
      </c>
    </row>
    <row r="200">
      <c r="A200" s="2" t="inlineStr">
        <is>
          <t>158707</t>
        </is>
      </c>
      <c r="B200" s="2" t="inlineStr">
        <is>
          <t>APARTMENT</t>
        </is>
      </c>
      <c r="C200" s="2" t="inlineStr">
        <is>
          <t>Maarif</t>
        </is>
      </c>
      <c r="D200" s="2" t="inlineStr">
        <is>
          <t>Casablanca</t>
        </is>
      </c>
      <c r="E200" s="3" t="n">
        <v>3675000</v>
      </c>
      <c r="F200" s="4" t="n">
        <v>205</v>
      </c>
      <c r="G200" s="4" t="n"/>
      <c r="H200" s="4" t="n"/>
      <c r="I200" s="5">
        <f>IFERROR(E200/F200,"")</f>
        <v/>
      </c>
      <c r="J200" s="2" t="n">
        <v>3</v>
      </c>
      <c r="K200" s="2" t="n">
        <v>2</v>
      </c>
      <c r="L200" s="2" t="n"/>
      <c r="M200" s="2" t="n"/>
      <c r="N200" s="2" t="n"/>
      <c r="O200" s="2" t="n"/>
      <c r="P200" s="2" t="inlineStr">
        <is>
          <t>LISTED</t>
        </is>
      </c>
      <c r="Q200" s="2" t="n"/>
      <c r="R200" s="2" t="n"/>
      <c r="S200" s="2" t="n">
        <v>33.58496710194457</v>
      </c>
      <c r="T200" s="2" t="n">
        <v>-7.644113022347297</v>
      </c>
      <c r="U200" s="3" t="n">
        <v>21142</v>
      </c>
      <c r="V200" s="2" t="inlineStr"/>
      <c r="W200" s="6" t="inlineStr">
        <is>
          <t>https://yakeey.com/fr-ma/achat/biens/158707</t>
        </is>
      </c>
    </row>
    <row r="201">
      <c r="A201" t="inlineStr">
        <is>
          <t>158841</t>
        </is>
      </c>
      <c r="B201" t="inlineStr">
        <is>
          <t>APARTMENT</t>
        </is>
      </c>
      <c r="C201" t="inlineStr">
        <is>
          <t>Bouskoura</t>
        </is>
      </c>
      <c r="D201" t="inlineStr">
        <is>
          <t>Bouskoura</t>
        </is>
      </c>
      <c r="E201" s="7" t="n">
        <v>700000</v>
      </c>
      <c r="F201" s="8" t="n">
        <v>66</v>
      </c>
      <c r="G201" s="8" t="n"/>
      <c r="H201" s="8" t="n"/>
      <c r="I201" s="9">
        <f>IFERROR(E201/F201,"")</f>
        <v/>
      </c>
      <c r="J201" t="n">
        <v>2</v>
      </c>
      <c r="K201" t="n">
        <v>1</v>
      </c>
      <c r="P201" t="inlineStr">
        <is>
          <t>LISTED</t>
        </is>
      </c>
      <c r="S201" t="n">
        <v>33.45640228948171</v>
      </c>
      <c r="T201" t="n">
        <v>-7.64740266259792</v>
      </c>
      <c r="U201" s="7" t="n">
        <v>4027</v>
      </c>
      <c r="V201" t="inlineStr"/>
      <c r="W201" s="10" t="inlineStr">
        <is>
          <t>https://yakeey.com/fr-ma/achat/biens/158841</t>
        </is>
      </c>
    </row>
    <row r="202">
      <c r="A202" s="2" t="inlineStr">
        <is>
          <t>159033</t>
        </is>
      </c>
      <c r="B202" s="2" t="inlineStr">
        <is>
          <t>APARTMENT</t>
        </is>
      </c>
      <c r="C202" s="2" t="inlineStr">
        <is>
          <t>Maarif</t>
        </is>
      </c>
      <c r="D202" s="2" t="inlineStr">
        <is>
          <t>Casablanca</t>
        </is>
      </c>
      <c r="E202" s="3" t="n">
        <v>1600000</v>
      </c>
      <c r="F202" s="4" t="n">
        <v>155</v>
      </c>
      <c r="G202" s="4" t="n"/>
      <c r="H202" s="4" t="n"/>
      <c r="I202" s="5">
        <f>IFERROR(E202/F202,"")</f>
        <v/>
      </c>
      <c r="J202" s="2" t="n">
        <v>3</v>
      </c>
      <c r="K202" s="2" t="n">
        <v>2</v>
      </c>
      <c r="L202" s="2" t="n"/>
      <c r="M202" s="2" t="n"/>
      <c r="N202" s="2" t="n"/>
      <c r="O202" s="2" t="n"/>
      <c r="P202" s="2" t="inlineStr">
        <is>
          <t>LISTED</t>
        </is>
      </c>
      <c r="Q202" s="2" t="n"/>
      <c r="R202" s="2" t="n"/>
      <c r="S202" s="2" t="n">
        <v>33.58648423743963</v>
      </c>
      <c r="T202" s="2" t="n">
        <v>-7.633396115009005</v>
      </c>
      <c r="U202" s="3" t="n">
        <v>9204</v>
      </c>
      <c r="V202" s="2" t="inlineStr"/>
      <c r="W202" s="6" t="inlineStr">
        <is>
          <t>https://yakeey.com/fr-ma/achat/biens/159033</t>
        </is>
      </c>
    </row>
    <row r="203">
      <c r="A203" t="inlineStr">
        <is>
          <t>159107</t>
        </is>
      </c>
      <c r="B203" t="inlineStr">
        <is>
          <t>APARTMENT</t>
        </is>
      </c>
      <c r="C203" t="inlineStr">
        <is>
          <t>La Gironde</t>
        </is>
      </c>
      <c r="D203" t="inlineStr">
        <is>
          <t>Casablanca</t>
        </is>
      </c>
      <c r="E203" s="7" t="n">
        <v>1300000</v>
      </c>
      <c r="F203" s="8" t="n">
        <v>100</v>
      </c>
      <c r="G203" s="8" t="n"/>
      <c r="H203" s="8" t="n"/>
      <c r="I203" s="9">
        <f>IFERROR(E203/F203,"")</f>
        <v/>
      </c>
      <c r="J203" t="n">
        <v>3</v>
      </c>
      <c r="K203" t="n">
        <v>2</v>
      </c>
      <c r="P203" t="inlineStr">
        <is>
          <t>LISTED</t>
        </is>
      </c>
      <c r="S203" t="n">
        <v>33.58531422962837</v>
      </c>
      <c r="T203" t="n">
        <v>-7.600135673308927</v>
      </c>
      <c r="U203" s="7" t="n">
        <v>7478</v>
      </c>
      <c r="V203" t="inlineStr"/>
      <c r="W203" s="10" t="inlineStr">
        <is>
          <t>https://yakeey.com/fr-ma/achat/biens/159107</t>
        </is>
      </c>
    </row>
    <row r="204">
      <c r="A204" s="2" t="inlineStr">
        <is>
          <t>159160</t>
        </is>
      </c>
      <c r="B204" s="2" t="inlineStr">
        <is>
          <t>APARTMENT</t>
        </is>
      </c>
      <c r="C204" s="2" t="inlineStr">
        <is>
          <t>Franceville</t>
        </is>
      </c>
      <c r="D204" s="2" t="inlineStr">
        <is>
          <t>Casablanca</t>
        </is>
      </c>
      <c r="E204" s="3" t="n">
        <v>1485900</v>
      </c>
      <c r="F204" s="4" t="n">
        <v>117</v>
      </c>
      <c r="G204" s="4" t="n"/>
      <c r="H204" s="4" t="n"/>
      <c r="I204" s="5">
        <f>IFERROR(E204/F204,"")</f>
        <v/>
      </c>
      <c r="J204" s="2" t="n">
        <v>2</v>
      </c>
      <c r="K204" s="2" t="n">
        <v>1</v>
      </c>
      <c r="L204" s="2" t="n"/>
      <c r="M204" s="2" t="n"/>
      <c r="N204" s="2" t="n"/>
      <c r="O204" s="2" t="n"/>
      <c r="P204" s="2" t="inlineStr">
        <is>
          <t>LISTED</t>
        </is>
      </c>
      <c r="Q204" s="2" t="n"/>
      <c r="R204" s="2" t="n"/>
      <c r="S204" s="2" t="n">
        <v>33.56964146238168</v>
      </c>
      <c r="T204" s="2" t="n">
        <v>-7.62772606984684</v>
      </c>
      <c r="U204" s="3" t="n">
        <v>8548</v>
      </c>
      <c r="V204" s="2" t="inlineStr"/>
      <c r="W204" s="6" t="inlineStr">
        <is>
          <t>https://yakeey.com/fr-ma/achat/biens/159160</t>
        </is>
      </c>
    </row>
    <row r="205">
      <c r="A205" t="inlineStr">
        <is>
          <t>159241</t>
        </is>
      </c>
      <c r="B205" t="inlineStr">
        <is>
          <t>APARTMENT</t>
        </is>
      </c>
      <c r="C205" t="inlineStr">
        <is>
          <t>Val Fleuri</t>
        </is>
      </c>
      <c r="D205" t="inlineStr">
        <is>
          <t>Casablanca</t>
        </is>
      </c>
      <c r="E205" s="7" t="n">
        <v>2150000</v>
      </c>
      <c r="F205" s="8" t="n">
        <v>139</v>
      </c>
      <c r="G205" s="8" t="n"/>
      <c r="H205" s="8" t="n"/>
      <c r="I205" s="9">
        <f>IFERROR(E205/F205,"")</f>
        <v/>
      </c>
      <c r="J205" t="n">
        <v>3</v>
      </c>
      <c r="K205" t="n">
        <v>1</v>
      </c>
      <c r="P205" t="inlineStr">
        <is>
          <t>LISTED</t>
        </is>
      </c>
      <c r="S205" t="n">
        <v>33.57520250698707</v>
      </c>
      <c r="T205" t="n">
        <v>-7.636299391638496</v>
      </c>
      <c r="U205" s="7" t="n">
        <v>12369</v>
      </c>
      <c r="V205" t="inlineStr"/>
      <c r="W205" s="10" t="inlineStr">
        <is>
          <t>https://yakeey.com/fr-ma/achat/biens/159241</t>
        </is>
      </c>
    </row>
    <row r="206">
      <c r="A206" s="2" t="inlineStr">
        <is>
          <t>159429</t>
        </is>
      </c>
      <c r="B206" s="2" t="inlineStr">
        <is>
          <t>APARTMENT</t>
        </is>
      </c>
      <c r="C206" s="2" t="inlineStr">
        <is>
          <t>Belvedere (Roches Noires)</t>
        </is>
      </c>
      <c r="D206" s="2" t="inlineStr">
        <is>
          <t>Casablanca</t>
        </is>
      </c>
      <c r="E206" s="3" t="n">
        <v>2200000</v>
      </c>
      <c r="F206" s="4" t="n">
        <v>199</v>
      </c>
      <c r="G206" s="4" t="n"/>
      <c r="H206" s="4" t="n"/>
      <c r="I206" s="5">
        <f>IFERROR(E206/F206,"")</f>
        <v/>
      </c>
      <c r="J206" s="2" t="n">
        <v>3</v>
      </c>
      <c r="K206" s="2" t="n">
        <v>2</v>
      </c>
      <c r="L206" s="2" t="n"/>
      <c r="M206" s="2" t="n"/>
      <c r="N206" s="2" t="n"/>
      <c r="O206" s="2" t="n"/>
      <c r="P206" s="2" t="inlineStr">
        <is>
          <t>LISTED</t>
        </is>
      </c>
      <c r="Q206" s="2" t="n"/>
      <c r="R206" s="2" t="n"/>
      <c r="S206" s="2" t="n">
        <v>33.58759573966467</v>
      </c>
      <c r="T206" s="2" t="n">
        <v>-7.602346285463311</v>
      </c>
      <c r="U206" s="3" t="n">
        <v>12656</v>
      </c>
      <c r="V206" s="2" t="inlineStr"/>
      <c r="W206" s="6" t="inlineStr">
        <is>
          <t>https://yakeey.com/fr-ma/achat/biens/159429</t>
        </is>
      </c>
    </row>
    <row r="207">
      <c r="A207" t="inlineStr">
        <is>
          <t>159501</t>
        </is>
      </c>
      <c r="B207" t="inlineStr">
        <is>
          <t>APARTMENT</t>
        </is>
      </c>
      <c r="C207" t="inlineStr">
        <is>
          <t>Sindibad</t>
        </is>
      </c>
      <c r="D207" t="inlineStr">
        <is>
          <t>Casablanca</t>
        </is>
      </c>
      <c r="E207" s="7" t="n">
        <v>5400000</v>
      </c>
      <c r="F207" s="8" t="n">
        <v>313</v>
      </c>
      <c r="G207" s="8" t="n"/>
      <c r="H207" s="8" t="n"/>
      <c r="I207" s="9">
        <f>IFERROR(E207/F207,"")</f>
        <v/>
      </c>
      <c r="J207" t="n">
        <v>3</v>
      </c>
      <c r="K207" t="n">
        <v>2</v>
      </c>
      <c r="P207" t="inlineStr">
        <is>
          <t>LISTED</t>
        </is>
      </c>
      <c r="S207" t="n">
        <v>33.58196325237142</v>
      </c>
      <c r="T207" t="n">
        <v>-7.683531476518363</v>
      </c>
      <c r="U207" s="7" t="n">
        <v>31066</v>
      </c>
      <c r="V207" t="inlineStr"/>
      <c r="W207" s="10" t="inlineStr">
        <is>
          <t>https://yakeey.com/fr-ma/achat/biens/159501</t>
        </is>
      </c>
    </row>
    <row r="208">
      <c r="A208" s="2" t="inlineStr">
        <is>
          <t>159520</t>
        </is>
      </c>
      <c r="B208" s="2" t="inlineStr">
        <is>
          <t>APARTMENT</t>
        </is>
      </c>
      <c r="C208" s="2" t="inlineStr">
        <is>
          <t>Sidi Messaoud</t>
        </is>
      </c>
      <c r="D208" s="2" t="inlineStr">
        <is>
          <t>Casablanca</t>
        </is>
      </c>
      <c r="E208" s="3" t="n">
        <v>2000000</v>
      </c>
      <c r="F208" s="4" t="n">
        <v>175</v>
      </c>
      <c r="G208" s="4" t="n"/>
      <c r="H208" s="4" t="n"/>
      <c r="I208" s="5">
        <f>IFERROR(E208/F208,"")</f>
        <v/>
      </c>
      <c r="J208" s="2" t="n">
        <v>3</v>
      </c>
      <c r="K208" s="2" t="n">
        <v>2</v>
      </c>
      <c r="L208" s="2" t="n"/>
      <c r="M208" s="2" t="n"/>
      <c r="N208" s="2" t="n"/>
      <c r="O208" s="2" t="n"/>
      <c r="P208" s="2" t="inlineStr">
        <is>
          <t>LISTED</t>
        </is>
      </c>
      <c r="Q208" s="2" t="n"/>
      <c r="R208" s="2" t="n"/>
      <c r="S208" s="2" t="n">
        <v>33.52612152671929</v>
      </c>
      <c r="T208" s="2" t="n">
        <v>-7.598878157174684</v>
      </c>
      <c r="U208" s="3" t="n">
        <v>11506</v>
      </c>
      <c r="V208" s="2" t="inlineStr"/>
      <c r="W208" s="6" t="inlineStr">
        <is>
          <t>https://yakeey.com/fr-ma/achat/biens/159520</t>
        </is>
      </c>
    </row>
    <row r="209">
      <c r="A209" t="inlineStr">
        <is>
          <t>159669</t>
        </is>
      </c>
      <c r="B209" t="inlineStr">
        <is>
          <t>APARTMENT</t>
        </is>
      </c>
      <c r="C209" t="inlineStr">
        <is>
          <t>Bourgogne (Sidi Belyout)</t>
        </is>
      </c>
      <c r="D209" t="inlineStr">
        <is>
          <t>Casablanca</t>
        </is>
      </c>
      <c r="E209" s="7" t="n">
        <v>1360000</v>
      </c>
      <c r="F209" s="8" t="n">
        <v>136</v>
      </c>
      <c r="G209" s="8" t="n"/>
      <c r="H209" s="8" t="n"/>
      <c r="I209" s="9">
        <f>IFERROR(E209/F209,"")</f>
        <v/>
      </c>
      <c r="J209" t="n">
        <v>3</v>
      </c>
      <c r="K209" t="n">
        <v>1</v>
      </c>
      <c r="P209" t="inlineStr">
        <is>
          <t>LISTED</t>
        </is>
      </c>
      <c r="S209" t="n">
        <v>33.59990558242442</v>
      </c>
      <c r="T209" t="n">
        <v>-7.630874367353806</v>
      </c>
      <c r="U209" s="7" t="n">
        <v>7824</v>
      </c>
      <c r="V209" t="inlineStr"/>
      <c r="W209" s="10" t="inlineStr">
        <is>
          <t>https://yakeey.com/fr-ma/achat/biens/159669</t>
        </is>
      </c>
    </row>
    <row r="210">
      <c r="A210" s="2" t="inlineStr">
        <is>
          <t>159679</t>
        </is>
      </c>
      <c r="B210" s="2" t="inlineStr">
        <is>
          <t>APARTMENT</t>
        </is>
      </c>
      <c r="C210" s="2" t="inlineStr">
        <is>
          <t>Inara</t>
        </is>
      </c>
      <c r="D210" s="2" t="inlineStr">
        <is>
          <t>Casablanca</t>
        </is>
      </c>
      <c r="E210" s="3" t="n">
        <v>720000</v>
      </c>
      <c r="F210" s="4" t="n">
        <v>64</v>
      </c>
      <c r="G210" s="4" t="n"/>
      <c r="H210" s="4" t="n"/>
      <c r="I210" s="5">
        <f>IFERROR(E210/F210,"")</f>
        <v/>
      </c>
      <c r="J210" s="2" t="n">
        <v>2</v>
      </c>
      <c r="K210" s="2" t="n">
        <v>1</v>
      </c>
      <c r="L210" s="2" t="n"/>
      <c r="M210" s="2" t="n"/>
      <c r="N210" s="2" t="n"/>
      <c r="O210" s="2" t="n"/>
      <c r="P210" s="2" t="inlineStr">
        <is>
          <t>LISTED</t>
        </is>
      </c>
      <c r="Q210" s="2" t="n"/>
      <c r="R210" s="2" t="n"/>
      <c r="S210" s="2" t="n">
        <v>33.53764452448288</v>
      </c>
      <c r="T210" s="2" t="n">
        <v>-7.593755535022704</v>
      </c>
      <c r="U210" s="3" t="n">
        <v>4142</v>
      </c>
      <c r="V210" s="2" t="inlineStr"/>
      <c r="W210" s="6" t="inlineStr">
        <is>
          <t>https://yakeey.com/fr-ma/achat/biens/159679</t>
        </is>
      </c>
    </row>
    <row r="211">
      <c r="A211" t="inlineStr">
        <is>
          <t>159884</t>
        </is>
      </c>
      <c r="B211" t="inlineStr">
        <is>
          <t>APARTMENT</t>
        </is>
      </c>
      <c r="C211" t="inlineStr">
        <is>
          <t>Val Fleuri</t>
        </is>
      </c>
      <c r="D211" t="inlineStr">
        <is>
          <t>Casablanca</t>
        </is>
      </c>
      <c r="E211" s="7" t="n">
        <v>1880000</v>
      </c>
      <c r="F211" s="8" t="n">
        <v>177</v>
      </c>
      <c r="G211" s="8" t="n"/>
      <c r="H211" s="8" t="n"/>
      <c r="I211" s="9">
        <f>IFERROR(E211/F211,"")</f>
        <v/>
      </c>
      <c r="J211" t="n">
        <v>3</v>
      </c>
      <c r="K211" t="n">
        <v>2</v>
      </c>
      <c r="P211" t="inlineStr">
        <is>
          <t>LISTED</t>
        </is>
      </c>
      <c r="S211" t="n">
        <v>33.57611194722104</v>
      </c>
      <c r="T211" t="n">
        <v>-7.637969419957155</v>
      </c>
      <c r="U211" s="7" t="n">
        <v>10815</v>
      </c>
      <c r="V211" t="inlineStr"/>
      <c r="W211" s="10" t="inlineStr">
        <is>
          <t>https://yakeey.com/fr-ma/achat/biens/159884</t>
        </is>
      </c>
    </row>
    <row r="212">
      <c r="A212" s="2" t="inlineStr">
        <is>
          <t>160233</t>
        </is>
      </c>
      <c r="B212" s="2" t="inlineStr">
        <is>
          <t>APARTMENT</t>
        </is>
      </c>
      <c r="C212" s="2" t="inlineStr">
        <is>
          <t>Maarif Extension</t>
        </is>
      </c>
      <c r="D212" s="2" t="inlineStr">
        <is>
          <t>Casablanca</t>
        </is>
      </c>
      <c r="E212" s="3" t="n">
        <v>1300000</v>
      </c>
      <c r="F212" s="4" t="n">
        <v>106</v>
      </c>
      <c r="G212" s="4" t="n"/>
      <c r="H212" s="4" t="n"/>
      <c r="I212" s="5">
        <f>IFERROR(E212/F212,"")</f>
        <v/>
      </c>
      <c r="J212" s="2" t="n">
        <v>2</v>
      </c>
      <c r="K212" s="2" t="n">
        <v>2</v>
      </c>
      <c r="L212" s="2" t="n"/>
      <c r="M212" s="2" t="n"/>
      <c r="N212" s="2" t="n"/>
      <c r="O212" s="2" t="n"/>
      <c r="P212" s="2" t="inlineStr">
        <is>
          <t>LISTED</t>
        </is>
      </c>
      <c r="Q212" s="2" t="n"/>
      <c r="R212" s="2" t="n"/>
      <c r="S212" s="2" t="n">
        <v>33.57650050581429</v>
      </c>
      <c r="T212" s="2" t="n">
        <v>-7.640543677091587</v>
      </c>
      <c r="U212" s="3" t="n">
        <v>7478</v>
      </c>
      <c r="V212" s="2" t="inlineStr"/>
      <c r="W212" s="6" t="inlineStr">
        <is>
          <t>https://yakeey.com/fr-ma/achat/biens/160233</t>
        </is>
      </c>
    </row>
    <row r="213">
      <c r="A213" t="inlineStr">
        <is>
          <t>160443</t>
        </is>
      </c>
      <c r="B213" t="inlineStr">
        <is>
          <t>APARTMENT</t>
        </is>
      </c>
      <c r="C213" t="inlineStr">
        <is>
          <t>Sindibad</t>
        </is>
      </c>
      <c r="D213" t="inlineStr">
        <is>
          <t>Casablanca</t>
        </is>
      </c>
      <c r="E213" s="7" t="n">
        <v>3000000</v>
      </c>
      <c r="F213" s="8" t="n">
        <v>189</v>
      </c>
      <c r="G213" s="8" t="n"/>
      <c r="H213" s="8" t="n"/>
      <c r="I213" s="9">
        <f>IFERROR(E213/F213,"")</f>
        <v/>
      </c>
      <c r="J213" t="n">
        <v>2</v>
      </c>
      <c r="P213" t="inlineStr">
        <is>
          <t>LISTED</t>
        </is>
      </c>
      <c r="S213" t="n">
        <v>33.57178679330149</v>
      </c>
      <c r="T213" t="n">
        <v>-7.697689761806247</v>
      </c>
      <c r="U213" s="7" t="n">
        <v>17259</v>
      </c>
      <c r="V213" t="inlineStr"/>
      <c r="W213" s="10" t="inlineStr">
        <is>
          <t>https://yakeey.com/fr-ma/achat/biens/160443</t>
        </is>
      </c>
    </row>
    <row r="214">
      <c r="A214" s="2" t="inlineStr">
        <is>
          <t>160453</t>
        </is>
      </c>
      <c r="B214" s="2" t="inlineStr">
        <is>
          <t>APARTMENT</t>
        </is>
      </c>
      <c r="C214" s="2" t="inlineStr">
        <is>
          <t>Californie</t>
        </is>
      </c>
      <c r="D214" s="2" t="inlineStr">
        <is>
          <t>Casablanca</t>
        </is>
      </c>
      <c r="E214" s="3" t="n">
        <v>2700000</v>
      </c>
      <c r="F214" s="4" t="n">
        <v>144</v>
      </c>
      <c r="G214" s="4" t="n"/>
      <c r="H214" s="4" t="n"/>
      <c r="I214" s="5">
        <f>IFERROR(E214/F214,"")</f>
        <v/>
      </c>
      <c r="J214" s="2" t="n">
        <v>3</v>
      </c>
      <c r="K214" s="2" t="n">
        <v>2</v>
      </c>
      <c r="L214" s="2" t="n"/>
      <c r="M214" s="2" t="n"/>
      <c r="N214" s="2" t="n"/>
      <c r="O214" s="2" t="n"/>
      <c r="P214" s="2" t="inlineStr">
        <is>
          <t>LISTED</t>
        </is>
      </c>
      <c r="Q214" s="2" t="n"/>
      <c r="R214" s="2" t="n"/>
      <c r="S214" s="2" t="n">
        <v>33.54118551036787</v>
      </c>
      <c r="T214" s="2" t="n">
        <v>-7.614949475789182</v>
      </c>
      <c r="U214" s="3" t="n">
        <v>15533</v>
      </c>
      <c r="V214" s="2" t="inlineStr"/>
      <c r="W214" s="6" t="inlineStr">
        <is>
          <t>https://yakeey.com/fr-ma/achat/biens/160453</t>
        </is>
      </c>
    </row>
    <row r="215">
      <c r="A215" t="inlineStr">
        <is>
          <t>160678</t>
        </is>
      </c>
      <c r="B215" t="inlineStr">
        <is>
          <t>APARTMENT</t>
        </is>
      </c>
      <c r="C215" t="inlineStr">
        <is>
          <t>Racine</t>
        </is>
      </c>
      <c r="D215" t="inlineStr">
        <is>
          <t>Casablanca</t>
        </is>
      </c>
      <c r="E215" s="7" t="n">
        <v>3578000</v>
      </c>
      <c r="F215" s="8" t="n">
        <v>224</v>
      </c>
      <c r="G215" s="8" t="n"/>
      <c r="H215" s="8" t="n"/>
      <c r="I215" s="9">
        <f>IFERROR(E215/F215,"")</f>
        <v/>
      </c>
      <c r="J215" t="n">
        <v>3</v>
      </c>
      <c r="K215" t="n">
        <v>2</v>
      </c>
      <c r="P215" t="inlineStr">
        <is>
          <t>LISTED</t>
        </is>
      </c>
      <c r="S215" t="n">
        <v>33.59153239263664</v>
      </c>
      <c r="T215" t="n">
        <v>-7.643619672903377</v>
      </c>
      <c r="U215" s="7" t="n">
        <v>20584</v>
      </c>
      <c r="V215" t="inlineStr"/>
      <c r="W215" s="10" t="inlineStr">
        <is>
          <t>https://yakeey.com/fr-ma/achat/biens/160678</t>
        </is>
      </c>
    </row>
    <row r="216">
      <c r="A216" s="2" t="inlineStr">
        <is>
          <t>160739</t>
        </is>
      </c>
      <c r="B216" s="2" t="inlineStr">
        <is>
          <t>APARTMENT</t>
        </is>
      </c>
      <c r="C216" s="2" t="inlineStr">
        <is>
          <t>La Gironde</t>
        </is>
      </c>
      <c r="D216" s="2" t="inlineStr">
        <is>
          <t>Casablanca</t>
        </is>
      </c>
      <c r="E216" s="3" t="n">
        <v>1580000</v>
      </c>
      <c r="F216" s="4" t="n">
        <v>110</v>
      </c>
      <c r="G216" s="4" t="n"/>
      <c r="H216" s="4" t="n"/>
      <c r="I216" s="5">
        <f>IFERROR(E216/F216,"")</f>
        <v/>
      </c>
      <c r="J216" s="2" t="n">
        <v>2</v>
      </c>
      <c r="K216" s="2" t="n">
        <v>2</v>
      </c>
      <c r="L216" s="2" t="n"/>
      <c r="M216" s="2" t="n"/>
      <c r="N216" s="2" t="n"/>
      <c r="O216" s="2" t="n"/>
      <c r="P216" s="2" t="inlineStr">
        <is>
          <t>LISTED</t>
        </is>
      </c>
      <c r="Q216" s="2" t="n"/>
      <c r="R216" s="2" t="n"/>
      <c r="S216" s="2" t="n">
        <v>33.58464011090044</v>
      </c>
      <c r="T216" s="2" t="n">
        <v>-7.598587108942348</v>
      </c>
      <c r="U216" s="3" t="n">
        <v>9089</v>
      </c>
      <c r="V216" s="2" t="inlineStr"/>
      <c r="W216" s="6" t="inlineStr">
        <is>
          <t>https://yakeey.com/fr-ma/achat/biens/160739</t>
        </is>
      </c>
    </row>
    <row r="217">
      <c r="A217" t="inlineStr">
        <is>
          <t>160760</t>
        </is>
      </c>
      <c r="B217" t="inlineStr">
        <is>
          <t>APARTMENT</t>
        </is>
      </c>
      <c r="C217" t="inlineStr">
        <is>
          <t>Les Princesses</t>
        </is>
      </c>
      <c r="D217" t="inlineStr">
        <is>
          <t>Casablanca</t>
        </is>
      </c>
      <c r="E217" s="7" t="n">
        <v>1760000</v>
      </c>
      <c r="F217" s="8" t="n">
        <v>81</v>
      </c>
      <c r="G217" s="8" t="n"/>
      <c r="H217" s="8" t="n"/>
      <c r="I217" s="9">
        <f>IFERROR(E217/F217,"")</f>
        <v/>
      </c>
      <c r="J217" t="n">
        <v>2</v>
      </c>
      <c r="K217" t="n">
        <v>1</v>
      </c>
      <c r="P217" t="inlineStr">
        <is>
          <t>LISTED</t>
        </is>
      </c>
      <c r="S217" t="n">
        <v>33.57721147609208</v>
      </c>
      <c r="T217" t="n">
        <v>-7.645774297201039</v>
      </c>
      <c r="U217" s="7" t="n">
        <v>10125</v>
      </c>
      <c r="V217" t="inlineStr"/>
      <c r="W217" s="10" t="inlineStr">
        <is>
          <t>https://yakeey.com/fr-ma/achat/biens/160760</t>
        </is>
      </c>
    </row>
    <row r="218">
      <c r="A218" s="2" t="inlineStr">
        <is>
          <t>160775</t>
        </is>
      </c>
      <c r="B218" s="2" t="inlineStr">
        <is>
          <t>APARTMENT</t>
        </is>
      </c>
      <c r="C218" s="2" t="inlineStr">
        <is>
          <t>Les Princesses</t>
        </is>
      </c>
      <c r="D218" s="2" t="inlineStr">
        <is>
          <t>Casablanca</t>
        </is>
      </c>
      <c r="E218" s="3" t="n">
        <v>2020000</v>
      </c>
      <c r="F218" s="4" t="n">
        <v>107</v>
      </c>
      <c r="G218" s="4" t="n"/>
      <c r="H218" s="4" t="n"/>
      <c r="I218" s="5">
        <f>IFERROR(E218/F218,"")</f>
        <v/>
      </c>
      <c r="J218" s="2" t="n">
        <v>2</v>
      </c>
      <c r="K218" s="2" t="n">
        <v>1</v>
      </c>
      <c r="L218" s="2" t="n"/>
      <c r="M218" s="2" t="n"/>
      <c r="N218" s="2" t="n"/>
      <c r="O218" s="2" t="n"/>
      <c r="P218" s="2" t="inlineStr">
        <is>
          <t>LISTED</t>
        </is>
      </c>
      <c r="Q218" s="2" t="n"/>
      <c r="R218" s="2" t="n"/>
      <c r="S218" s="2" t="n">
        <v>33.57761725893324</v>
      </c>
      <c r="T218" s="2" t="n">
        <v>-7.646439293655543</v>
      </c>
      <c r="U218" s="3" t="n">
        <v>11621</v>
      </c>
      <c r="V218" s="2" t="inlineStr"/>
      <c r="W218" s="6" t="inlineStr">
        <is>
          <t>https://yakeey.com/fr-ma/achat/biens/160775</t>
        </is>
      </c>
    </row>
    <row r="219">
      <c r="A219" t="inlineStr">
        <is>
          <t>160899</t>
        </is>
      </c>
      <c r="B219" t="inlineStr">
        <is>
          <t>APARTMENT</t>
        </is>
      </c>
      <c r="C219" t="inlineStr">
        <is>
          <t>Ain Chock</t>
        </is>
      </c>
      <c r="D219" t="inlineStr">
        <is>
          <t>Casablanca</t>
        </is>
      </c>
      <c r="E219" s="7" t="n">
        <v>1300000</v>
      </c>
      <c r="F219" s="8" t="n">
        <v>114</v>
      </c>
      <c r="G219" s="8" t="n"/>
      <c r="H219" s="8" t="n"/>
      <c r="I219" s="9">
        <f>IFERROR(E219/F219,"")</f>
        <v/>
      </c>
      <c r="J219" t="n">
        <v>3</v>
      </c>
      <c r="K219" t="n">
        <v>1</v>
      </c>
      <c r="P219" t="inlineStr">
        <is>
          <t>LISTED</t>
        </is>
      </c>
      <c r="S219" t="n">
        <v>33.5401184576569</v>
      </c>
      <c r="T219" t="n">
        <v>-7.608718907230968</v>
      </c>
      <c r="U219" s="7" t="n">
        <v>7478</v>
      </c>
      <c r="V219" t="inlineStr"/>
      <c r="W219" s="10" t="inlineStr">
        <is>
          <t>https://yakeey.com/fr-ma/achat/biens/160899</t>
        </is>
      </c>
    </row>
    <row r="220">
      <c r="A220" s="2" t="inlineStr">
        <is>
          <t>16102</t>
        </is>
      </c>
      <c r="B220" s="2" t="inlineStr">
        <is>
          <t>APARTMENT</t>
        </is>
      </c>
      <c r="C220" s="2" t="inlineStr">
        <is>
          <t>Maarif Extension</t>
        </is>
      </c>
      <c r="D220" s="2" t="inlineStr">
        <is>
          <t>Casablanca</t>
        </is>
      </c>
      <c r="E220" s="3" t="n">
        <v>1350000</v>
      </c>
      <c r="F220" s="4" t="n">
        <v>101</v>
      </c>
      <c r="G220" s="4" t="n"/>
      <c r="H220" s="4" t="n"/>
      <c r="I220" s="5">
        <f>IFERROR(E220/F220,"")</f>
        <v/>
      </c>
      <c r="J220" s="2" t="n">
        <v>2</v>
      </c>
      <c r="K220" s="2" t="n">
        <v>1</v>
      </c>
      <c r="L220" s="2" t="n"/>
      <c r="M220" s="2" t="n"/>
      <c r="N220" s="2" t="n"/>
      <c r="O220" s="2" t="n"/>
      <c r="P220" s="2" t="inlineStr">
        <is>
          <t>LISTED</t>
        </is>
      </c>
      <c r="Q220" s="2" t="n"/>
      <c r="R220" s="2" t="n"/>
      <c r="S220" s="2" t="n">
        <v>33.57836115468145</v>
      </c>
      <c r="T220" s="2" t="n">
        <v>-7.641640395507569</v>
      </c>
      <c r="U220" s="3" t="n">
        <v>7766</v>
      </c>
      <c r="V220" s="2" t="inlineStr"/>
      <c r="W220" s="6" t="inlineStr">
        <is>
          <t>https://yakeey.com/fr-ma/achat/biens/16102</t>
        </is>
      </c>
    </row>
    <row r="221">
      <c r="A221" t="inlineStr">
        <is>
          <t>161020</t>
        </is>
      </c>
      <c r="B221" t="inlineStr">
        <is>
          <t>APARTMENT</t>
        </is>
      </c>
      <c r="C221" t="inlineStr">
        <is>
          <t>Maarif</t>
        </is>
      </c>
      <c r="D221" t="inlineStr">
        <is>
          <t>Casablanca</t>
        </is>
      </c>
      <c r="E221" s="7" t="n">
        <v>3800000</v>
      </c>
      <c r="F221" s="8" t="n">
        <v>238</v>
      </c>
      <c r="G221" s="8" t="n"/>
      <c r="H221" s="8" t="n"/>
      <c r="I221" s="9">
        <f>IFERROR(E221/F221,"")</f>
        <v/>
      </c>
      <c r="J221" t="n">
        <v>4</v>
      </c>
      <c r="P221" t="inlineStr">
        <is>
          <t>LISTED</t>
        </is>
      </c>
      <c r="S221" t="n">
        <v>33.58172791461817</v>
      </c>
      <c r="T221" t="n">
        <v>-7.629685984476872</v>
      </c>
      <c r="U221" s="7" t="n">
        <v>21861</v>
      </c>
      <c r="V221" t="inlineStr"/>
      <c r="W221" s="10" t="inlineStr">
        <is>
          <t>https://yakeey.com/fr-ma/achat/biens/161020</t>
        </is>
      </c>
    </row>
    <row r="222">
      <c r="A222" s="2" t="inlineStr">
        <is>
          <t>161364</t>
        </is>
      </c>
      <c r="B222" s="2" t="inlineStr">
        <is>
          <t>APARTMENT</t>
        </is>
      </c>
      <c r="C222" s="2" t="inlineStr">
        <is>
          <t>Gauthier</t>
        </is>
      </c>
      <c r="D222" s="2" t="inlineStr">
        <is>
          <t>Casablanca</t>
        </is>
      </c>
      <c r="E222" s="3" t="n">
        <v>3550000</v>
      </c>
      <c r="F222" s="4" t="n">
        <v>218</v>
      </c>
      <c r="G222" s="4" t="n"/>
      <c r="H222" s="4" t="n"/>
      <c r="I222" s="5">
        <f>IFERROR(E222/F222,"")</f>
        <v/>
      </c>
      <c r="J222" s="2" t="n">
        <v>4</v>
      </c>
      <c r="K222" s="2" t="n">
        <v>2</v>
      </c>
      <c r="L222" s="2" t="n"/>
      <c r="M222" s="2" t="n"/>
      <c r="N222" s="2" t="n"/>
      <c r="O222" s="2" t="n"/>
      <c r="P222" s="2" t="inlineStr">
        <is>
          <t>LISTED</t>
        </is>
      </c>
      <c r="Q222" s="2" t="n"/>
      <c r="R222" s="2" t="n"/>
      <c r="S222" s="2" t="n">
        <v>33.59043196570622</v>
      </c>
      <c r="T222" s="2" t="n">
        <v>-7.628500601802275</v>
      </c>
      <c r="U222" s="3" t="n">
        <v>20423</v>
      </c>
      <c r="V222" s="2" t="inlineStr"/>
      <c r="W222" s="6" t="inlineStr">
        <is>
          <t>https://yakeey.com/fr-ma/achat/biens/161364</t>
        </is>
      </c>
    </row>
    <row r="223">
      <c r="A223" t="inlineStr">
        <is>
          <t>161432</t>
        </is>
      </c>
      <c r="B223" t="inlineStr">
        <is>
          <t>APARTMENT</t>
        </is>
      </c>
      <c r="C223" t="inlineStr">
        <is>
          <t>Quartier Bd De Bordeaux</t>
        </is>
      </c>
      <c r="D223" t="inlineStr">
        <is>
          <t>Casablanca</t>
        </is>
      </c>
      <c r="E223" s="7" t="n">
        <v>1546000</v>
      </c>
      <c r="F223" s="8" t="n">
        <v>86</v>
      </c>
      <c r="G223" s="8" t="n"/>
      <c r="H223" s="8" t="n"/>
      <c r="I223" s="9">
        <f>IFERROR(E223/F223,"")</f>
        <v/>
      </c>
      <c r="J223" t="n">
        <v>2</v>
      </c>
      <c r="K223" t="n">
        <v>2</v>
      </c>
      <c r="P223" t="inlineStr">
        <is>
          <t>LISTED</t>
        </is>
      </c>
      <c r="S223" t="n">
        <v>33.59702075762038</v>
      </c>
      <c r="T223" t="n">
        <v>-7.628323108672707</v>
      </c>
      <c r="U223" s="7" t="n">
        <v>8894</v>
      </c>
      <c r="V223" t="inlineStr"/>
      <c r="W223" s="10" t="inlineStr">
        <is>
          <t>https://yakeey.com/fr-ma/achat/biens/161432</t>
        </is>
      </c>
    </row>
    <row r="224">
      <c r="A224" s="2" t="inlineStr">
        <is>
          <t>161470</t>
        </is>
      </c>
      <c r="B224" s="2" t="inlineStr">
        <is>
          <t>APARTMENT</t>
        </is>
      </c>
      <c r="C224" s="2" t="inlineStr">
        <is>
          <t>Sidi Bernoussi</t>
        </is>
      </c>
      <c r="D224" s="2" t="inlineStr">
        <is>
          <t>Casablanca</t>
        </is>
      </c>
      <c r="E224" s="3" t="n">
        <v>800000</v>
      </c>
      <c r="F224" s="4" t="n">
        <v>83</v>
      </c>
      <c r="G224" s="4" t="n"/>
      <c r="H224" s="4" t="n"/>
      <c r="I224" s="5">
        <f>IFERROR(E224/F224,"")</f>
        <v/>
      </c>
      <c r="J224" s="2" t="n">
        <v>2</v>
      </c>
      <c r="K224" s="2" t="n">
        <v>1</v>
      </c>
      <c r="L224" s="2" t="n"/>
      <c r="M224" s="2" t="n"/>
      <c r="N224" s="2" t="n"/>
      <c r="O224" s="2" t="n"/>
      <c r="P224" s="2" t="inlineStr">
        <is>
          <t>LISTED</t>
        </is>
      </c>
      <c r="Q224" s="2" t="n"/>
      <c r="R224" s="2" t="n"/>
      <c r="S224" s="2" t="n">
        <v>33.61785876154026</v>
      </c>
      <c r="T224" s="2" t="n">
        <v>-7.499169549010975</v>
      </c>
      <c r="U224" s="3" t="n">
        <v>4602</v>
      </c>
      <c r="V224" s="2" t="inlineStr"/>
      <c r="W224" s="6" t="inlineStr">
        <is>
          <t>https://yakeey.com/fr-ma/achat/biens/161470</t>
        </is>
      </c>
    </row>
    <row r="225">
      <c r="A225" t="inlineStr">
        <is>
          <t>161661</t>
        </is>
      </c>
      <c r="B225" t="inlineStr">
        <is>
          <t>APARTMENT</t>
        </is>
      </c>
      <c r="C225" t="inlineStr">
        <is>
          <t>Racine</t>
        </is>
      </c>
      <c r="D225" t="inlineStr">
        <is>
          <t>Casablanca</t>
        </is>
      </c>
      <c r="E225" s="7" t="n">
        <v>3450000</v>
      </c>
      <c r="F225" s="8" t="n">
        <v>203</v>
      </c>
      <c r="G225" s="8" t="n"/>
      <c r="H225" s="8" t="n"/>
      <c r="I225" s="9">
        <f>IFERROR(E225/F225,"")</f>
        <v/>
      </c>
      <c r="J225" t="n">
        <v>3</v>
      </c>
      <c r="K225" t="n">
        <v>2</v>
      </c>
      <c r="P225" t="inlineStr">
        <is>
          <t>LISTED</t>
        </is>
      </c>
      <c r="S225" t="n">
        <v>33.59096002975783</v>
      </c>
      <c r="T225" t="n">
        <v>-7.636614779999673</v>
      </c>
      <c r="U225" s="7" t="n">
        <v>19848</v>
      </c>
      <c r="V225" t="inlineStr"/>
      <c r="W225" s="10" t="inlineStr">
        <is>
          <t>https://yakeey.com/fr-ma/achat/biens/161661</t>
        </is>
      </c>
    </row>
    <row r="226">
      <c r="A226" s="2" t="inlineStr">
        <is>
          <t>161798</t>
        </is>
      </c>
      <c r="B226" s="2" t="inlineStr">
        <is>
          <t>APARTMENT</t>
        </is>
      </c>
      <c r="C226" s="2" t="inlineStr">
        <is>
          <t>Californie</t>
        </is>
      </c>
      <c r="D226" s="2" t="inlineStr">
        <is>
          <t>Casablanca</t>
        </is>
      </c>
      <c r="E226" s="3" t="n">
        <v>1995000</v>
      </c>
      <c r="F226" s="4" t="n">
        <v>128</v>
      </c>
      <c r="G226" s="4" t="n"/>
      <c r="H226" s="4" t="n"/>
      <c r="I226" s="5">
        <f>IFERROR(E226/F226,"")</f>
        <v/>
      </c>
      <c r="J226" s="2" t="n">
        <v>3</v>
      </c>
      <c r="K226" s="2" t="n">
        <v>3</v>
      </c>
      <c r="L226" s="2" t="n"/>
      <c r="M226" s="2" t="n"/>
      <c r="N226" s="2" t="n"/>
      <c r="O226" s="2" t="n"/>
      <c r="P226" s="2" t="inlineStr">
        <is>
          <t>LISTED</t>
        </is>
      </c>
      <c r="Q226" s="2" t="n"/>
      <c r="R226" s="2" t="n"/>
      <c r="S226" s="2" t="n">
        <v>33.54805285876717</v>
      </c>
      <c r="T226" s="2" t="n">
        <v>-7.639939905887551</v>
      </c>
      <c r="U226" s="3" t="n">
        <v>11477</v>
      </c>
      <c r="V226" s="2" t="inlineStr"/>
      <c r="W226" s="6" t="inlineStr">
        <is>
          <t>https://yakeey.com/fr-ma/achat/biens/161798</t>
        </is>
      </c>
    </row>
    <row r="227">
      <c r="A227" t="inlineStr">
        <is>
          <t>161803</t>
        </is>
      </c>
      <c r="B227" t="inlineStr">
        <is>
          <t>APARTMENT</t>
        </is>
      </c>
      <c r="C227" t="inlineStr">
        <is>
          <t>Gauthier</t>
        </is>
      </c>
      <c r="D227" t="inlineStr">
        <is>
          <t>Casablanca</t>
        </is>
      </c>
      <c r="E227" s="7" t="n">
        <v>3100000</v>
      </c>
      <c r="F227" s="8" t="n">
        <v>152</v>
      </c>
      <c r="G227" s="8" t="n"/>
      <c r="H227" s="8" t="n"/>
      <c r="I227" s="9">
        <f>IFERROR(E227/F227,"")</f>
        <v/>
      </c>
      <c r="J227" t="n">
        <v>3</v>
      </c>
      <c r="K227" t="n">
        <v>2</v>
      </c>
      <c r="P227" t="inlineStr">
        <is>
          <t>LISTED</t>
        </is>
      </c>
      <c r="S227" t="n">
        <v>33.58846492069011</v>
      </c>
      <c r="T227" t="n">
        <v>-7.630681582279397</v>
      </c>
      <c r="U227" s="7" t="n">
        <v>17834</v>
      </c>
      <c r="V227" t="inlineStr"/>
      <c r="W227" s="10" t="inlineStr">
        <is>
          <t>https://yakeey.com/fr-ma/achat/biens/161803</t>
        </is>
      </c>
    </row>
    <row r="228">
      <c r="A228" s="2" t="inlineStr">
        <is>
          <t>162129</t>
        </is>
      </c>
      <c r="B228" s="2" t="inlineStr">
        <is>
          <t>APARTMENT</t>
        </is>
      </c>
      <c r="C228" s="2" t="inlineStr">
        <is>
          <t>Belvedere (Roches Noires)</t>
        </is>
      </c>
      <c r="D228" s="2" t="inlineStr">
        <is>
          <t>Casablanca</t>
        </is>
      </c>
      <c r="E228" s="3" t="n">
        <v>1200000</v>
      </c>
      <c r="F228" s="4" t="n">
        <v>112</v>
      </c>
      <c r="G228" s="4" t="n"/>
      <c r="H228" s="4" t="n"/>
      <c r="I228" s="5">
        <f>IFERROR(E228/F228,"")</f>
        <v/>
      </c>
      <c r="J228" s="2" t="n">
        <v>2</v>
      </c>
      <c r="K228" s="2" t="n">
        <v>2</v>
      </c>
      <c r="L228" s="2" t="n"/>
      <c r="M228" s="2" t="n"/>
      <c r="N228" s="2" t="n"/>
      <c r="O228" s="2" t="n"/>
      <c r="P228" s="2" t="inlineStr">
        <is>
          <t>LISTED</t>
        </is>
      </c>
      <c r="Q228" s="2" t="n"/>
      <c r="R228" s="2" t="n"/>
      <c r="S228" s="2" t="n">
        <v>33.59538782664701</v>
      </c>
      <c r="T228" s="2" t="n">
        <v>-7.595463880891102</v>
      </c>
      <c r="U228" s="3" t="n">
        <v>6903</v>
      </c>
      <c r="V228" s="2" t="inlineStr"/>
      <c r="W228" s="6" t="inlineStr">
        <is>
          <t>https://yakeey.com/fr-ma/achat/biens/162129</t>
        </is>
      </c>
    </row>
    <row r="229">
      <c r="A229" t="inlineStr">
        <is>
          <t>162777</t>
        </is>
      </c>
      <c r="B229" t="inlineStr">
        <is>
          <t>APARTMENT</t>
        </is>
      </c>
      <c r="C229" t="inlineStr">
        <is>
          <t>Oulfa</t>
        </is>
      </c>
      <c r="D229" t="inlineStr">
        <is>
          <t>Casablanca</t>
        </is>
      </c>
      <c r="E229" s="7" t="n">
        <v>850000</v>
      </c>
      <c r="F229" s="8" t="n">
        <v>91</v>
      </c>
      <c r="G229" s="8" t="n"/>
      <c r="H229" s="8" t="n"/>
      <c r="I229" s="9">
        <f>IFERROR(E229/F229,"")</f>
        <v/>
      </c>
      <c r="J229" t="n">
        <v>2</v>
      </c>
      <c r="K229" t="n">
        <v>1</v>
      </c>
      <c r="P229" t="inlineStr">
        <is>
          <t>LISTED</t>
        </is>
      </c>
      <c r="S229" t="n">
        <v>33.55602194754749</v>
      </c>
      <c r="T229" t="n">
        <v>-7.677997052990756</v>
      </c>
      <c r="U229" s="7" t="n">
        <v>4890</v>
      </c>
      <c r="V229" t="inlineStr"/>
      <c r="W229" s="10" t="inlineStr">
        <is>
          <t>https://yakeey.com/fr-ma/achat/biens/162777</t>
        </is>
      </c>
    </row>
    <row r="230">
      <c r="A230" s="2" t="inlineStr">
        <is>
          <t>162925</t>
        </is>
      </c>
      <c r="B230" s="2" t="inlineStr">
        <is>
          <t>APARTMENT</t>
        </is>
      </c>
      <c r="C230" s="2" t="inlineStr">
        <is>
          <t>Les Princesses</t>
        </is>
      </c>
      <c r="D230" s="2" t="inlineStr">
        <is>
          <t>Casablanca</t>
        </is>
      </c>
      <c r="E230" s="3" t="n">
        <v>2400000</v>
      </c>
      <c r="F230" s="4" t="n">
        <v>159</v>
      </c>
      <c r="G230" s="4" t="n"/>
      <c r="H230" s="4" t="n"/>
      <c r="I230" s="5">
        <f>IFERROR(E230/F230,"")</f>
        <v/>
      </c>
      <c r="J230" s="2" t="n">
        <v>3</v>
      </c>
      <c r="K230" s="2" t="n">
        <v>2</v>
      </c>
      <c r="L230" s="2" t="n"/>
      <c r="M230" s="2" t="n"/>
      <c r="N230" s="2" t="n"/>
      <c r="O230" s="2" t="n"/>
      <c r="P230" s="2" t="inlineStr">
        <is>
          <t>LISTED</t>
        </is>
      </c>
      <c r="Q230" s="2" t="n"/>
      <c r="R230" s="2" t="n"/>
      <c r="S230" s="2" t="n">
        <v>33.57641745477695</v>
      </c>
      <c r="T230" s="2" t="n">
        <v>-7.648012092930506</v>
      </c>
      <c r="U230" s="3" t="n">
        <v>13807</v>
      </c>
      <c r="V230" s="2" t="inlineStr"/>
      <c r="W230" s="6" t="inlineStr">
        <is>
          <t>https://yakeey.com/fr-ma/achat/biens/162925</t>
        </is>
      </c>
    </row>
    <row r="231">
      <c r="A231" t="inlineStr">
        <is>
          <t>163303</t>
        </is>
      </c>
      <c r="B231" t="inlineStr">
        <is>
          <t>APARTMENT</t>
        </is>
      </c>
      <c r="C231" t="inlineStr">
        <is>
          <t>Belvedere (Roches Noires)</t>
        </is>
      </c>
      <c r="D231" t="inlineStr">
        <is>
          <t>Casablanca</t>
        </is>
      </c>
      <c r="E231" s="7" t="n">
        <v>850000</v>
      </c>
      <c r="F231" s="8" t="n">
        <v>101</v>
      </c>
      <c r="G231" s="8" t="n"/>
      <c r="H231" s="8" t="n"/>
      <c r="I231" s="9">
        <f>IFERROR(E231/F231,"")</f>
        <v/>
      </c>
      <c r="J231" t="n">
        <v>2</v>
      </c>
      <c r="K231" t="n">
        <v>1</v>
      </c>
      <c r="P231" t="inlineStr">
        <is>
          <t>LISTED</t>
        </is>
      </c>
      <c r="S231" t="n">
        <v>33.58650579306529</v>
      </c>
      <c r="T231" t="n">
        <v>-7.599778066437296</v>
      </c>
      <c r="U231" s="7" t="n">
        <v>4890</v>
      </c>
      <c r="V231" t="inlineStr"/>
      <c r="W231" s="10" t="inlineStr">
        <is>
          <t>https://yakeey.com/fr-ma/achat/biens/163303</t>
        </is>
      </c>
    </row>
    <row r="232">
      <c r="A232" s="2" t="inlineStr">
        <is>
          <t>163446</t>
        </is>
      </c>
      <c r="B232" s="2" t="inlineStr">
        <is>
          <t>APARTMENT</t>
        </is>
      </c>
      <c r="C232" s="2" t="inlineStr">
        <is>
          <t>Hopitaux</t>
        </is>
      </c>
      <c r="D232" s="2" t="inlineStr">
        <is>
          <t>Casablanca</t>
        </is>
      </c>
      <c r="E232" s="3" t="n">
        <v>1750000</v>
      </c>
      <c r="F232" s="4" t="n">
        <v>144</v>
      </c>
      <c r="G232" s="4" t="n"/>
      <c r="H232" s="4" t="n"/>
      <c r="I232" s="5">
        <f>IFERROR(E232/F232,"")</f>
        <v/>
      </c>
      <c r="J232" s="2" t="n">
        <v>3</v>
      </c>
      <c r="K232" s="2" t="n">
        <v>2</v>
      </c>
      <c r="L232" s="2" t="n"/>
      <c r="M232" s="2" t="n"/>
      <c r="N232" s="2" t="n"/>
      <c r="O232" s="2" t="n"/>
      <c r="P232" s="2" t="inlineStr">
        <is>
          <t>LISTED</t>
        </is>
      </c>
      <c r="Q232" s="2" t="n"/>
      <c r="R232" s="2" t="n"/>
      <c r="S232" s="2" t="n">
        <v>33.58002582591057</v>
      </c>
      <c r="T232" s="2" t="n">
        <v>-7.624329098143515</v>
      </c>
      <c r="U232" s="3" t="n">
        <v>10067</v>
      </c>
      <c r="V232" s="2" t="inlineStr"/>
      <c r="W232" s="6" t="inlineStr">
        <is>
          <t>https://yakeey.com/fr-ma/achat/biens/163446</t>
        </is>
      </c>
    </row>
    <row r="233">
      <c r="A233" t="inlineStr">
        <is>
          <t>163565</t>
        </is>
      </c>
      <c r="B233" t="inlineStr">
        <is>
          <t>APARTMENT</t>
        </is>
      </c>
      <c r="C233" t="inlineStr">
        <is>
          <t>Fida</t>
        </is>
      </c>
      <c r="D233" t="inlineStr">
        <is>
          <t>Casablanca</t>
        </is>
      </c>
      <c r="E233" s="7" t="n">
        <v>750000</v>
      </c>
      <c r="F233" s="8" t="n">
        <v>87</v>
      </c>
      <c r="G233" s="8" t="n"/>
      <c r="H233" s="8" t="n"/>
      <c r="I233" s="9">
        <f>IFERROR(E233/F233,"")</f>
        <v/>
      </c>
      <c r="J233" t="n">
        <v>2</v>
      </c>
      <c r="K233" t="n">
        <v>2</v>
      </c>
      <c r="P233" t="inlineStr">
        <is>
          <t>LISTED</t>
        </is>
      </c>
      <c r="S233" t="n">
        <v>33.57177811881031</v>
      </c>
      <c r="T233" t="n">
        <v>-7.595532521478648</v>
      </c>
      <c r="U233" s="7" t="n">
        <v>4314</v>
      </c>
      <c r="V233" t="inlineStr"/>
      <c r="W233" s="10" t="inlineStr">
        <is>
          <t>https://yakeey.com/fr-ma/achat/biens/163565</t>
        </is>
      </c>
    </row>
    <row r="234">
      <c r="A234" s="2" t="inlineStr">
        <is>
          <t>164106</t>
        </is>
      </c>
      <c r="B234" s="2" t="inlineStr">
        <is>
          <t>APARTMENT</t>
        </is>
      </c>
      <c r="C234" s="2" t="inlineStr">
        <is>
          <t>Bourgogne (Anfa)</t>
        </is>
      </c>
      <c r="D234" s="2" t="inlineStr">
        <is>
          <t>Casablanca</t>
        </is>
      </c>
      <c r="E234" s="3" t="n">
        <v>2150000</v>
      </c>
      <c r="F234" s="4" t="n">
        <v>134</v>
      </c>
      <c r="G234" s="4" t="n"/>
      <c r="H234" s="4" t="n"/>
      <c r="I234" s="5">
        <f>IFERROR(E234/F234,"")</f>
        <v/>
      </c>
      <c r="J234" s="2" t="n">
        <v>3</v>
      </c>
      <c r="K234" s="2" t="n">
        <v>2</v>
      </c>
      <c r="L234" s="2" t="n"/>
      <c r="M234" s="2" t="n"/>
      <c r="N234" s="2" t="n"/>
      <c r="O234" s="2" t="n"/>
      <c r="P234" s="2" t="inlineStr">
        <is>
          <t>LISTED</t>
        </is>
      </c>
      <c r="Q234" s="2" t="n"/>
      <c r="R234" s="2" t="n"/>
      <c r="S234" s="2" t="n">
        <v>33.60394331427612</v>
      </c>
      <c r="T234" s="2" t="n">
        <v>-7.637163088578735</v>
      </c>
      <c r="U234" s="3" t="n">
        <v>12369</v>
      </c>
      <c r="V234" s="2" t="inlineStr"/>
      <c r="W234" s="6" t="inlineStr">
        <is>
          <t>https://yakeey.com/fr-ma/achat/biens/164106</t>
        </is>
      </c>
    </row>
    <row r="235">
      <c r="A235" t="inlineStr">
        <is>
          <t>164461</t>
        </is>
      </c>
      <c r="B235" t="inlineStr">
        <is>
          <t>APARTMENT</t>
        </is>
      </c>
      <c r="C235" t="inlineStr">
        <is>
          <t>Palmier (Maarif)</t>
        </is>
      </c>
      <c r="D235" t="inlineStr">
        <is>
          <t>Casablanca</t>
        </is>
      </c>
      <c r="E235" s="7" t="n">
        <v>2500000</v>
      </c>
      <c r="F235" s="8" t="n">
        <v>176</v>
      </c>
      <c r="G235" s="8" t="n"/>
      <c r="H235" s="8" t="n"/>
      <c r="I235" s="9">
        <f>IFERROR(E235/F235,"")</f>
        <v/>
      </c>
      <c r="J235" t="n">
        <v>3</v>
      </c>
      <c r="K235" t="n">
        <v>2</v>
      </c>
      <c r="P235" t="inlineStr">
        <is>
          <t>LISTED</t>
        </is>
      </c>
      <c r="S235" t="n">
        <v>33.58226477166301</v>
      </c>
      <c r="T235" t="n">
        <v>-7.625602427490908</v>
      </c>
      <c r="U235" s="7" t="n">
        <v>14382</v>
      </c>
      <c r="V235" t="inlineStr"/>
      <c r="W235" s="10" t="inlineStr">
        <is>
          <t>https://yakeey.com/fr-ma/achat/biens/164461</t>
        </is>
      </c>
    </row>
    <row r="236">
      <c r="A236" s="2" t="inlineStr">
        <is>
          <t>164541</t>
        </is>
      </c>
      <c r="B236" s="2" t="inlineStr">
        <is>
          <t>APARTMENT</t>
        </is>
      </c>
      <c r="C236" s="2" t="inlineStr">
        <is>
          <t>Californie</t>
        </is>
      </c>
      <c r="D236" s="2" t="inlineStr">
        <is>
          <t>Casablanca</t>
        </is>
      </c>
      <c r="E236" s="3" t="n">
        <v>1750000</v>
      </c>
      <c r="F236" s="4" t="n">
        <v>143</v>
      </c>
      <c r="G236" s="4" t="n"/>
      <c r="H236" s="4" t="n"/>
      <c r="I236" s="5">
        <f>IFERROR(E236/F236,"")</f>
        <v/>
      </c>
      <c r="J236" s="2" t="n">
        <v>2</v>
      </c>
      <c r="K236" s="2" t="n">
        <v>1</v>
      </c>
      <c r="L236" s="2" t="n"/>
      <c r="M236" s="2" t="n"/>
      <c r="N236" s="2" t="n"/>
      <c r="O236" s="2" t="n"/>
      <c r="P236" s="2" t="inlineStr">
        <is>
          <t>LISTED</t>
        </is>
      </c>
      <c r="Q236" s="2" t="n"/>
      <c r="R236" s="2" t="n"/>
      <c r="S236" s="2" t="n">
        <v>33.54198776980668</v>
      </c>
      <c r="T236" s="2" t="n">
        <v>-7.611632697072864</v>
      </c>
      <c r="U236" s="3" t="n">
        <v>10067</v>
      </c>
      <c r="V236" s="2" t="inlineStr"/>
      <c r="W236" s="6" t="inlineStr">
        <is>
          <t>https://yakeey.com/fr-ma/achat/biens/164541</t>
        </is>
      </c>
    </row>
    <row r="237">
      <c r="A237" t="inlineStr">
        <is>
          <t>164715</t>
        </is>
      </c>
      <c r="B237" t="inlineStr">
        <is>
          <t>APARTMENT</t>
        </is>
      </c>
      <c r="C237" t="inlineStr">
        <is>
          <t>Californie</t>
        </is>
      </c>
      <c r="D237" t="inlineStr">
        <is>
          <t>Casablanca</t>
        </is>
      </c>
      <c r="E237" s="7" t="n">
        <v>1600000</v>
      </c>
      <c r="F237" s="8" t="n">
        <v>98</v>
      </c>
      <c r="G237" s="8" t="n"/>
      <c r="H237" s="8" t="n"/>
      <c r="I237" s="9">
        <f>IFERROR(E237/F237,"")</f>
        <v/>
      </c>
      <c r="J237" t="n">
        <v>2</v>
      </c>
      <c r="K237" t="n">
        <v>2</v>
      </c>
      <c r="P237" t="inlineStr">
        <is>
          <t>LISTED</t>
        </is>
      </c>
      <c r="S237" t="n">
        <v>33.53524475330251</v>
      </c>
      <c r="T237" t="n">
        <v>-7.608440793916869</v>
      </c>
      <c r="U237" s="7" t="n">
        <v>9204</v>
      </c>
      <c r="V237" t="inlineStr"/>
      <c r="W237" s="10" t="inlineStr">
        <is>
          <t>https://yakeey.com/fr-ma/achat/biens/164715</t>
        </is>
      </c>
    </row>
    <row r="238">
      <c r="A238" s="2" t="inlineStr">
        <is>
          <t>164881</t>
        </is>
      </c>
      <c r="B238" s="2" t="inlineStr">
        <is>
          <t>APARTMENT</t>
        </is>
      </c>
      <c r="C238" s="2" t="inlineStr">
        <is>
          <t>Hopitaux</t>
        </is>
      </c>
      <c r="D238" s="2" t="inlineStr">
        <is>
          <t>Casablanca</t>
        </is>
      </c>
      <c r="E238" s="3" t="n">
        <v>1900000</v>
      </c>
      <c r="F238" s="4" t="n">
        <v>158</v>
      </c>
      <c r="G238" s="4" t="n"/>
      <c r="H238" s="4" t="n"/>
      <c r="I238" s="5">
        <f>IFERROR(E238/F238,"")</f>
        <v/>
      </c>
      <c r="J238" s="2" t="n">
        <v>3</v>
      </c>
      <c r="K238" s="2" t="n">
        <v>1</v>
      </c>
      <c r="L238" s="2" t="n"/>
      <c r="M238" s="2" t="n"/>
      <c r="N238" s="2" t="n"/>
      <c r="O238" s="2" t="n"/>
      <c r="P238" s="2" t="inlineStr">
        <is>
          <t>LISTED</t>
        </is>
      </c>
      <c r="Q238" s="2" t="n"/>
      <c r="R238" s="2" t="n"/>
      <c r="S238" s="2" t="n">
        <v>33.57093208202335</v>
      </c>
      <c r="T238" s="2" t="n">
        <v>-7.617578540292612</v>
      </c>
      <c r="U238" s="3" t="n">
        <v>10930</v>
      </c>
      <c r="V238" s="2" t="inlineStr"/>
      <c r="W238" s="6" t="inlineStr">
        <is>
          <t>https://yakeey.com/fr-ma/achat/biens/164881</t>
        </is>
      </c>
    </row>
    <row r="239">
      <c r="A239" t="inlineStr">
        <is>
          <t>164917</t>
        </is>
      </c>
      <c r="B239" t="inlineStr">
        <is>
          <t>APARTMENT</t>
        </is>
      </c>
      <c r="C239" t="inlineStr">
        <is>
          <t>Maarif Extension</t>
        </is>
      </c>
      <c r="D239" t="inlineStr">
        <is>
          <t>Casablanca</t>
        </is>
      </c>
      <c r="E239" s="7" t="n">
        <v>2500000</v>
      </c>
      <c r="F239" s="8" t="n">
        <v>143</v>
      </c>
      <c r="G239" s="8" t="n"/>
      <c r="H239" s="8" t="n"/>
      <c r="I239" s="9">
        <f>IFERROR(E239/F239,"")</f>
        <v/>
      </c>
      <c r="J239" t="n">
        <v>3</v>
      </c>
      <c r="K239" t="n">
        <v>3</v>
      </c>
      <c r="P239" t="inlineStr">
        <is>
          <t>LISTED</t>
        </is>
      </c>
      <c r="S239" t="n">
        <v>33.58613191382972</v>
      </c>
      <c r="T239" t="n">
        <v>-7.646137036522317</v>
      </c>
      <c r="U239" s="7" t="n">
        <v>14382</v>
      </c>
      <c r="V239" t="inlineStr"/>
      <c r="W239" s="10" t="inlineStr">
        <is>
          <t>https://yakeey.com/fr-ma/achat/biens/164917</t>
        </is>
      </c>
    </row>
    <row r="240">
      <c r="A240" s="2" t="inlineStr">
        <is>
          <t>164942</t>
        </is>
      </c>
      <c r="B240" s="2" t="inlineStr">
        <is>
          <t>APARTMENT</t>
        </is>
      </c>
      <c r="C240" s="2" t="inlineStr">
        <is>
          <t>Belvedere (Roches Noires)</t>
        </is>
      </c>
      <c r="D240" s="2" t="inlineStr">
        <is>
          <t>Casablanca</t>
        </is>
      </c>
      <c r="E240" s="3" t="n">
        <v>1100000</v>
      </c>
      <c r="F240" s="4" t="n">
        <v>102</v>
      </c>
      <c r="G240" s="4" t="n"/>
      <c r="H240" s="4" t="n"/>
      <c r="I240" s="5">
        <f>IFERROR(E240/F240,"")</f>
        <v/>
      </c>
      <c r="J240" s="2" t="n">
        <v>3</v>
      </c>
      <c r="K240" s="2" t="n">
        <v>1</v>
      </c>
      <c r="L240" s="2" t="n"/>
      <c r="M240" s="2" t="n"/>
      <c r="N240" s="2" t="n"/>
      <c r="O240" s="2" t="n"/>
      <c r="P240" s="2" t="inlineStr">
        <is>
          <t>LISTED</t>
        </is>
      </c>
      <c r="Q240" s="2" t="n"/>
      <c r="R240" s="2" t="n"/>
      <c r="S240" s="2" t="n">
        <v>33.59158502205223</v>
      </c>
      <c r="T240" s="2" t="n">
        <v>-7.600298450326139</v>
      </c>
      <c r="U240" s="3" t="n">
        <v>6328</v>
      </c>
      <c r="V240" s="2" t="inlineStr"/>
      <c r="W240" s="6" t="inlineStr">
        <is>
          <t>https://yakeey.com/fr-ma/achat/biens/164942</t>
        </is>
      </c>
    </row>
    <row r="241">
      <c r="A241" t="inlineStr">
        <is>
          <t>165210</t>
        </is>
      </c>
      <c r="B241" t="inlineStr">
        <is>
          <t>APARTMENT</t>
        </is>
      </c>
      <c r="C241" t="inlineStr">
        <is>
          <t>Maarif Extension</t>
        </is>
      </c>
      <c r="D241" t="inlineStr">
        <is>
          <t>Casablanca</t>
        </is>
      </c>
      <c r="E241" s="7" t="n">
        <v>1250000</v>
      </c>
      <c r="F241" s="8" t="n">
        <v>104</v>
      </c>
      <c r="G241" s="8" t="n"/>
      <c r="H241" s="8" t="n"/>
      <c r="I241" s="9">
        <f>IFERROR(E241/F241,"")</f>
        <v/>
      </c>
      <c r="J241" t="n">
        <v>2</v>
      </c>
      <c r="K241" t="n">
        <v>2</v>
      </c>
      <c r="P241" t="inlineStr">
        <is>
          <t>LISTED</t>
        </is>
      </c>
      <c r="S241" t="n">
        <v>33.57945081382551</v>
      </c>
      <c r="T241" t="n">
        <v>-7.642094277549857</v>
      </c>
      <c r="U241" s="7" t="n">
        <v>7191</v>
      </c>
      <c r="V241" t="inlineStr"/>
      <c r="W241" s="10" t="inlineStr">
        <is>
          <t>https://yakeey.com/fr-ma/achat/biens/165210</t>
        </is>
      </c>
    </row>
    <row r="242">
      <c r="A242" s="2" t="inlineStr">
        <is>
          <t>165435</t>
        </is>
      </c>
      <c r="B242" s="2" t="inlineStr">
        <is>
          <t>APARTMENT</t>
        </is>
      </c>
      <c r="C242" s="2" t="inlineStr">
        <is>
          <t>Racine</t>
        </is>
      </c>
      <c r="D242" s="2" t="inlineStr">
        <is>
          <t>Casablanca</t>
        </is>
      </c>
      <c r="E242" s="3" t="n">
        <v>2150000</v>
      </c>
      <c r="F242" s="4" t="n">
        <v>105</v>
      </c>
      <c r="G242" s="4" t="n"/>
      <c r="H242" s="4" t="n"/>
      <c r="I242" s="5">
        <f>IFERROR(E242/F242,"")</f>
        <v/>
      </c>
      <c r="J242" s="2" t="n">
        <v>2</v>
      </c>
      <c r="K242" s="2" t="n">
        <v>2</v>
      </c>
      <c r="L242" s="2" t="n"/>
      <c r="M242" s="2" t="n"/>
      <c r="N242" s="2" t="n"/>
      <c r="O242" s="2" t="n"/>
      <c r="P242" s="2" t="inlineStr">
        <is>
          <t>LISTED</t>
        </is>
      </c>
      <c r="Q242" s="2" t="n"/>
      <c r="R242" s="2" t="n"/>
      <c r="S242" s="2" t="n">
        <v>33.59269138620775</v>
      </c>
      <c r="T242" s="2" t="n">
        <v>-7.640283343262486</v>
      </c>
      <c r="U242" s="3" t="n">
        <v>12369</v>
      </c>
      <c r="V242" s="2" t="inlineStr"/>
      <c r="W242" s="6" t="inlineStr">
        <is>
          <t>https://yakeey.com/fr-ma/achat/biens/165435</t>
        </is>
      </c>
    </row>
    <row r="243">
      <c r="A243" t="inlineStr">
        <is>
          <t>165954</t>
        </is>
      </c>
      <c r="B243" t="inlineStr">
        <is>
          <t>APARTMENT</t>
        </is>
      </c>
      <c r="C243" t="inlineStr">
        <is>
          <t>Bourgogne (Anfa)</t>
        </is>
      </c>
      <c r="D243" t="inlineStr">
        <is>
          <t>Casablanca</t>
        </is>
      </c>
      <c r="E243" s="7" t="n">
        <v>1500000</v>
      </c>
      <c r="F243" s="8" t="n">
        <v>91</v>
      </c>
      <c r="G243" s="8" t="n"/>
      <c r="H243" s="8" t="n"/>
      <c r="I243" s="9">
        <f>IFERROR(E243/F243,"")</f>
        <v/>
      </c>
      <c r="J243" t="n">
        <v>2</v>
      </c>
      <c r="K243" t="n">
        <v>2</v>
      </c>
      <c r="P243" t="inlineStr">
        <is>
          <t>LISTED</t>
        </is>
      </c>
      <c r="S243" t="n">
        <v>33.59211373897249</v>
      </c>
      <c r="T243" t="n">
        <v>-7.633662114915206</v>
      </c>
      <c r="U243" s="7" t="n">
        <v>8629</v>
      </c>
      <c r="V243" t="inlineStr"/>
      <c r="W243" s="10" t="inlineStr">
        <is>
          <t>https://yakeey.com/fr-ma/achat/biens/165954</t>
        </is>
      </c>
    </row>
    <row r="244">
      <c r="A244" s="2" t="inlineStr">
        <is>
          <t>166115</t>
        </is>
      </c>
      <c r="B244" s="2" t="inlineStr">
        <is>
          <t>APARTMENT</t>
        </is>
      </c>
      <c r="C244" s="2" t="inlineStr">
        <is>
          <t>Maarif Extension</t>
        </is>
      </c>
      <c r="D244" s="2" t="inlineStr">
        <is>
          <t>Casablanca</t>
        </is>
      </c>
      <c r="E244" s="3" t="n">
        <v>1050000</v>
      </c>
      <c r="F244" s="4" t="n">
        <v>77</v>
      </c>
      <c r="G244" s="4" t="n"/>
      <c r="H244" s="4" t="n"/>
      <c r="I244" s="5">
        <f>IFERROR(E244/F244,"")</f>
        <v/>
      </c>
      <c r="J244" s="2" t="n">
        <v>2</v>
      </c>
      <c r="K244" s="2" t="n">
        <v>1</v>
      </c>
      <c r="L244" s="2" t="n"/>
      <c r="M244" s="2" t="n"/>
      <c r="N244" s="2" t="n"/>
      <c r="O244" s="2" t="n"/>
      <c r="P244" s="2" t="inlineStr">
        <is>
          <t>LISTED</t>
        </is>
      </c>
      <c r="Q244" s="2" t="n"/>
      <c r="R244" s="2" t="n"/>
      <c r="S244" s="2" t="n">
        <v>33.57848911678204</v>
      </c>
      <c r="T244" s="2" t="n">
        <v>-7.641572839169394</v>
      </c>
      <c r="U244" s="3" t="n">
        <v>6040</v>
      </c>
      <c r="V244" s="2" t="inlineStr"/>
      <c r="W244" s="6" t="inlineStr">
        <is>
          <t>https://yakeey.com/fr-ma/achat/biens/166115</t>
        </is>
      </c>
    </row>
    <row r="245">
      <c r="A245" t="inlineStr">
        <is>
          <t>166379</t>
        </is>
      </c>
      <c r="B245" t="inlineStr">
        <is>
          <t>APARTMENT</t>
        </is>
      </c>
      <c r="C245" t="inlineStr">
        <is>
          <t>Les Princesses</t>
        </is>
      </c>
      <c r="D245" t="inlineStr">
        <is>
          <t>Casablanca</t>
        </is>
      </c>
      <c r="E245" s="7" t="n">
        <v>7300000</v>
      </c>
      <c r="F245" s="8" t="n">
        <v>433</v>
      </c>
      <c r="G245" s="8" t="n"/>
      <c r="H245" s="8" t="n"/>
      <c r="I245" s="9">
        <f>IFERROR(E245/F245,"")</f>
        <v/>
      </c>
      <c r="J245" t="n">
        <v>4</v>
      </c>
      <c r="K245" t="n">
        <v>3</v>
      </c>
      <c r="P245" t="inlineStr">
        <is>
          <t>LISTED</t>
        </is>
      </c>
      <c r="S245" t="n">
        <v>33.57682205865684</v>
      </c>
      <c r="T245" t="n">
        <v>-7.650792993993097</v>
      </c>
      <c r="U245" s="7" t="n">
        <v>41997</v>
      </c>
      <c r="V245" t="inlineStr"/>
      <c r="W245" s="10" t="inlineStr">
        <is>
          <t>https://yakeey.com/fr-ma/achat/biens/166379</t>
        </is>
      </c>
    </row>
    <row r="246">
      <c r="A246" s="2" t="inlineStr">
        <is>
          <t>166649</t>
        </is>
      </c>
      <c r="B246" s="2" t="inlineStr">
        <is>
          <t>APARTMENT</t>
        </is>
      </c>
      <c r="C246" s="2" t="inlineStr">
        <is>
          <t>Les Princesses</t>
        </is>
      </c>
      <c r="D246" s="2" t="inlineStr">
        <is>
          <t>Casablanca</t>
        </is>
      </c>
      <c r="E246" s="3" t="n">
        <v>1840000</v>
      </c>
      <c r="F246" s="4" t="n">
        <v>105</v>
      </c>
      <c r="G246" s="4" t="n"/>
      <c r="H246" s="4" t="n"/>
      <c r="I246" s="5">
        <f>IFERROR(E246/F246,"")</f>
        <v/>
      </c>
      <c r="J246" s="2" t="n">
        <v>3</v>
      </c>
      <c r="K246" s="2" t="n">
        <v>2</v>
      </c>
      <c r="L246" s="2" t="n"/>
      <c r="M246" s="2" t="n"/>
      <c r="N246" s="2" t="n"/>
      <c r="O246" s="2" t="n"/>
      <c r="P246" s="2" t="inlineStr">
        <is>
          <t>LISTED</t>
        </is>
      </c>
      <c r="Q246" s="2" t="n"/>
      <c r="R246" s="2" t="n"/>
      <c r="S246" s="2" t="n">
        <v>33.58125056912355</v>
      </c>
      <c r="T246" s="2" t="n">
        <v>-7.653053334872511</v>
      </c>
      <c r="U246" s="3" t="n">
        <v>10585</v>
      </c>
      <c r="V246" s="2" t="inlineStr"/>
      <c r="W246" s="6" t="inlineStr">
        <is>
          <t>https://yakeey.com/fr-ma/achat/biens/166649</t>
        </is>
      </c>
    </row>
    <row r="247">
      <c r="A247" t="inlineStr">
        <is>
          <t>16702</t>
        </is>
      </c>
      <c r="B247" t="inlineStr">
        <is>
          <t>APARTMENT</t>
        </is>
      </c>
      <c r="C247" t="inlineStr">
        <is>
          <t>Ferme Bretonne</t>
        </is>
      </c>
      <c r="D247" t="inlineStr">
        <is>
          <t>Casablanca</t>
        </is>
      </c>
      <c r="E247" s="7" t="n">
        <v>2050000</v>
      </c>
      <c r="F247" s="8" t="n">
        <v>108</v>
      </c>
      <c r="G247" s="8" t="n"/>
      <c r="H247" s="8" t="n"/>
      <c r="I247" s="9">
        <f>IFERROR(E247/F247,"")</f>
        <v/>
      </c>
      <c r="J247" t="n">
        <v>3</v>
      </c>
      <c r="K247" t="n">
        <v>2</v>
      </c>
      <c r="P247" t="inlineStr">
        <is>
          <t>LISTED</t>
        </is>
      </c>
      <c r="S247" t="n">
        <v>33.56354383434013</v>
      </c>
      <c r="T247" t="n">
        <v>-7.645105724318104</v>
      </c>
      <c r="U247" s="7" t="n">
        <v>11793</v>
      </c>
      <c r="V247" t="inlineStr"/>
      <c r="W247" s="10" t="inlineStr">
        <is>
          <t>https://yakeey.com/fr-ma/achat/biens/16702</t>
        </is>
      </c>
    </row>
    <row r="248">
      <c r="A248" s="2" t="inlineStr">
        <is>
          <t>167248</t>
        </is>
      </c>
      <c r="B248" s="2" t="inlineStr">
        <is>
          <t>APARTMENT</t>
        </is>
      </c>
      <c r="C248" s="2" t="inlineStr">
        <is>
          <t>Gauthier</t>
        </is>
      </c>
      <c r="D248" s="2" t="inlineStr">
        <is>
          <t>Casablanca</t>
        </is>
      </c>
      <c r="E248" s="3" t="n">
        <v>2300000</v>
      </c>
      <c r="F248" s="4" t="n">
        <v>116</v>
      </c>
      <c r="G248" s="4" t="n"/>
      <c r="H248" s="4" t="n"/>
      <c r="I248" s="5">
        <f>IFERROR(E248/F248,"")</f>
        <v/>
      </c>
      <c r="J248" s="2" t="n">
        <v>2</v>
      </c>
      <c r="K248" s="2" t="n">
        <v>2</v>
      </c>
      <c r="L248" s="2" t="n"/>
      <c r="M248" s="2" t="n"/>
      <c r="N248" s="2" t="n"/>
      <c r="O248" s="2" t="n"/>
      <c r="P248" s="2" t="inlineStr">
        <is>
          <t>LISTED</t>
        </is>
      </c>
      <c r="Q248" s="2" t="n"/>
      <c r="R248" s="2" t="n"/>
      <c r="S248" s="2" t="n">
        <v>33.58916940133009</v>
      </c>
      <c r="T248" s="2" t="n">
        <v>-7.628488248038587</v>
      </c>
      <c r="U248" s="3" t="n">
        <v>13232</v>
      </c>
      <c r="V248" s="2" t="inlineStr"/>
      <c r="W248" s="6" t="inlineStr">
        <is>
          <t>https://yakeey.com/fr-ma/achat/biens/167248</t>
        </is>
      </c>
    </row>
    <row r="249">
      <c r="A249" t="inlineStr">
        <is>
          <t>167455</t>
        </is>
      </c>
      <c r="B249" t="inlineStr">
        <is>
          <t>APARTMENT</t>
        </is>
      </c>
      <c r="C249" t="inlineStr">
        <is>
          <t>Californie</t>
        </is>
      </c>
      <c r="D249" t="inlineStr">
        <is>
          <t>Casablanca</t>
        </is>
      </c>
      <c r="E249" s="7" t="n">
        <v>2250000</v>
      </c>
      <c r="F249" s="8" t="n">
        <v>127</v>
      </c>
      <c r="G249" s="8" t="n"/>
      <c r="H249" s="8" t="n"/>
      <c r="I249" s="9">
        <f>IFERROR(E249/F249,"")</f>
        <v/>
      </c>
      <c r="J249" t="n">
        <v>3</v>
      </c>
      <c r="K249" t="n">
        <v>2</v>
      </c>
      <c r="P249" t="inlineStr">
        <is>
          <t>LISTED</t>
        </is>
      </c>
      <c r="S249" t="n">
        <v>33.52953313422613</v>
      </c>
      <c r="T249" t="n">
        <v>-7.611957363461983</v>
      </c>
      <c r="U249" s="7" t="n">
        <v>12944</v>
      </c>
      <c r="V249" t="inlineStr"/>
      <c r="W249" s="10" t="inlineStr">
        <is>
          <t>https://yakeey.com/fr-ma/achat/biens/167455</t>
        </is>
      </c>
    </row>
    <row r="250">
      <c r="A250" s="2" t="inlineStr">
        <is>
          <t>167465</t>
        </is>
      </c>
      <c r="B250" s="2" t="inlineStr">
        <is>
          <t>APARTMENT</t>
        </is>
      </c>
      <c r="C250" s="2" t="inlineStr">
        <is>
          <t>Hopitaux</t>
        </is>
      </c>
      <c r="D250" s="2" t="inlineStr">
        <is>
          <t>Casablanca</t>
        </is>
      </c>
      <c r="E250" s="3" t="n">
        <v>1600000</v>
      </c>
      <c r="F250" s="4" t="n">
        <v>146</v>
      </c>
      <c r="G250" s="4" t="n"/>
      <c r="H250" s="4" t="n"/>
      <c r="I250" s="5">
        <f>IFERROR(E250/F250,"")</f>
        <v/>
      </c>
      <c r="J250" s="2" t="n">
        <v>3</v>
      </c>
      <c r="K250" s="2" t="n">
        <v>2</v>
      </c>
      <c r="L250" s="2" t="n"/>
      <c r="M250" s="2" t="n"/>
      <c r="N250" s="2" t="n"/>
      <c r="O250" s="2" t="n"/>
      <c r="P250" s="2" t="inlineStr">
        <is>
          <t>LISTED</t>
        </is>
      </c>
      <c r="Q250" s="2" t="n"/>
      <c r="R250" s="2" t="n"/>
      <c r="S250" s="2" t="n">
        <v>33.58173379094614</v>
      </c>
      <c r="T250" s="2" t="n">
        <v>-7.620929596961169</v>
      </c>
      <c r="U250" s="3" t="n">
        <v>9204</v>
      </c>
      <c r="V250" s="2" t="inlineStr"/>
      <c r="W250" s="6" t="inlineStr">
        <is>
          <t>https://yakeey.com/fr-ma/achat/biens/167465</t>
        </is>
      </c>
    </row>
    <row r="251">
      <c r="A251" t="inlineStr">
        <is>
          <t>167577</t>
        </is>
      </c>
      <c r="B251" t="inlineStr">
        <is>
          <t>APARTMENT</t>
        </is>
      </c>
      <c r="C251" t="inlineStr">
        <is>
          <t>Racine</t>
        </is>
      </c>
      <c r="D251" t="inlineStr">
        <is>
          <t>Casablanca</t>
        </is>
      </c>
      <c r="E251" s="7" t="n">
        <v>4200000</v>
      </c>
      <c r="F251" s="8" t="n">
        <v>203</v>
      </c>
      <c r="G251" s="8" t="n"/>
      <c r="H251" s="8" t="n"/>
      <c r="I251" s="9">
        <f>IFERROR(E251/F251,"")</f>
        <v/>
      </c>
      <c r="J251" t="n">
        <v>3</v>
      </c>
      <c r="K251" t="n">
        <v>2</v>
      </c>
      <c r="P251" t="inlineStr">
        <is>
          <t>LISTED</t>
        </is>
      </c>
      <c r="S251" t="n">
        <v>33.58937437530536</v>
      </c>
      <c r="T251" t="n">
        <v>-7.641220752850781</v>
      </c>
      <c r="U251" s="7" t="n">
        <v>24162</v>
      </c>
      <c r="V251" t="inlineStr"/>
      <c r="W251" s="10" t="inlineStr">
        <is>
          <t>https://yakeey.com/fr-ma/achat/biens/167577</t>
        </is>
      </c>
    </row>
    <row r="252">
      <c r="A252" s="2" t="inlineStr">
        <is>
          <t>168041</t>
        </is>
      </c>
      <c r="B252" s="2" t="inlineStr">
        <is>
          <t>APARTMENT</t>
        </is>
      </c>
      <c r="C252" s="2" t="inlineStr">
        <is>
          <t>Franceville</t>
        </is>
      </c>
      <c r="D252" s="2" t="inlineStr">
        <is>
          <t>Casablanca</t>
        </is>
      </c>
      <c r="E252" s="3" t="n">
        <v>1650000</v>
      </c>
      <c r="F252" s="4" t="n">
        <v>114</v>
      </c>
      <c r="G252" s="4" t="n"/>
      <c r="H252" s="4" t="n"/>
      <c r="I252" s="5">
        <f>IFERROR(E252/F252,"")</f>
        <v/>
      </c>
      <c r="J252" s="2" t="n">
        <v>3</v>
      </c>
      <c r="K252" s="2" t="n">
        <v>1</v>
      </c>
      <c r="L252" s="2" t="n"/>
      <c r="M252" s="2" t="n"/>
      <c r="N252" s="2" t="n"/>
      <c r="O252" s="2" t="n"/>
      <c r="P252" s="2" t="inlineStr">
        <is>
          <t>LISTED</t>
        </is>
      </c>
      <c r="Q252" s="2" t="n"/>
      <c r="R252" s="2" t="n"/>
      <c r="S252" s="2" t="n">
        <v>33.56531209501305</v>
      </c>
      <c r="T252" s="2" t="n">
        <v>-7.568509343382115</v>
      </c>
      <c r="U252" s="3" t="n">
        <v>9492</v>
      </c>
      <c r="V252" s="2" t="inlineStr"/>
      <c r="W252" s="6" t="inlineStr">
        <is>
          <t>https://yakeey.com/fr-ma/achat/biens/168041</t>
        </is>
      </c>
    </row>
    <row r="253">
      <c r="A253" t="inlineStr">
        <is>
          <t>168112</t>
        </is>
      </c>
      <c r="B253" t="inlineStr">
        <is>
          <t>APARTMENT</t>
        </is>
      </c>
      <c r="C253" t="inlineStr">
        <is>
          <t>Californie</t>
        </is>
      </c>
      <c r="D253" t="inlineStr">
        <is>
          <t>Casablanca</t>
        </is>
      </c>
      <c r="E253" s="7" t="n">
        <v>2600000</v>
      </c>
      <c r="F253" s="8" t="n">
        <v>152</v>
      </c>
      <c r="G253" s="8" t="n"/>
      <c r="H253" s="8" t="n"/>
      <c r="I253" s="9">
        <f>IFERROR(E253/F253,"")</f>
        <v/>
      </c>
      <c r="J253" t="n">
        <v>3</v>
      </c>
      <c r="K253" t="n">
        <v>3</v>
      </c>
      <c r="P253" t="inlineStr">
        <is>
          <t>LISTED</t>
        </is>
      </c>
      <c r="S253" t="n">
        <v>33.52765826902714</v>
      </c>
      <c r="T253" t="n">
        <v>-7.614507719063783</v>
      </c>
      <c r="U253" s="7" t="n">
        <v>14957</v>
      </c>
      <c r="V253" t="inlineStr"/>
      <c r="W253" s="10" t="inlineStr">
        <is>
          <t>https://yakeey.com/fr-ma/achat/biens/168112</t>
        </is>
      </c>
    </row>
    <row r="254">
      <c r="A254" s="2" t="inlineStr">
        <is>
          <t>168135</t>
        </is>
      </c>
      <c r="B254" s="2" t="inlineStr">
        <is>
          <t>APARTMENT</t>
        </is>
      </c>
      <c r="C254" s="2" t="inlineStr">
        <is>
          <t>Ain Sebaa</t>
        </is>
      </c>
      <c r="D254" s="2" t="inlineStr">
        <is>
          <t>Casablanca</t>
        </is>
      </c>
      <c r="E254" s="3" t="n">
        <v>1050000</v>
      </c>
      <c r="F254" s="4" t="n">
        <v>107</v>
      </c>
      <c r="G254" s="4" t="n"/>
      <c r="H254" s="4" t="n"/>
      <c r="I254" s="5">
        <f>IFERROR(E254/F254,"")</f>
        <v/>
      </c>
      <c r="J254" s="2" t="n">
        <v>3</v>
      </c>
      <c r="K254" s="2" t="n">
        <v>2</v>
      </c>
      <c r="L254" s="2" t="n"/>
      <c r="M254" s="2" t="n"/>
      <c r="N254" s="2" t="n"/>
      <c r="O254" s="2" t="n"/>
      <c r="P254" s="2" t="inlineStr">
        <is>
          <t>LISTED</t>
        </is>
      </c>
      <c r="Q254" s="2" t="n"/>
      <c r="R254" s="2" t="n"/>
      <c r="S254" s="2" t="n">
        <v>33.60828451576565</v>
      </c>
      <c r="T254" s="2" t="n">
        <v>-7.537362321026319</v>
      </c>
      <c r="U254" s="3" t="n">
        <v>6040</v>
      </c>
      <c r="V254" s="2" t="inlineStr"/>
      <c r="W254" s="6" t="inlineStr">
        <is>
          <t>https://yakeey.com/fr-ma/achat/biens/168135</t>
        </is>
      </c>
    </row>
    <row r="255">
      <c r="A255" t="inlineStr">
        <is>
          <t>168152</t>
        </is>
      </c>
      <c r="B255" t="inlineStr">
        <is>
          <t>APARTMENT</t>
        </is>
      </c>
      <c r="C255" t="inlineStr">
        <is>
          <t>Ain Borja</t>
        </is>
      </c>
      <c r="D255" t="inlineStr">
        <is>
          <t>Casablanca</t>
        </is>
      </c>
      <c r="E255" s="7" t="n">
        <v>1100000</v>
      </c>
      <c r="F255" s="8" t="n">
        <v>100</v>
      </c>
      <c r="G255" s="8" t="n"/>
      <c r="H255" s="8" t="n"/>
      <c r="I255" s="9">
        <f>IFERROR(E255/F255,"")</f>
        <v/>
      </c>
      <c r="J255" t="n">
        <v>2</v>
      </c>
      <c r="K255" t="n">
        <v>1</v>
      </c>
      <c r="P255" t="inlineStr">
        <is>
          <t>LISTED</t>
        </is>
      </c>
      <c r="S255" t="n">
        <v>33.57879058365034</v>
      </c>
      <c r="T255" t="n">
        <v>-7.587404041759757</v>
      </c>
      <c r="U255" s="7" t="n">
        <v>6328</v>
      </c>
      <c r="V255" t="inlineStr"/>
      <c r="W255" s="10" t="inlineStr">
        <is>
          <t>https://yakeey.com/fr-ma/achat/biens/168152</t>
        </is>
      </c>
    </row>
    <row r="256">
      <c r="A256" s="2" t="inlineStr">
        <is>
          <t>168546</t>
        </is>
      </c>
      <c r="B256" s="2" t="inlineStr">
        <is>
          <t>APARTMENT</t>
        </is>
      </c>
      <c r="C256" s="2" t="inlineStr">
        <is>
          <t>Belvedere (Roches Noires)</t>
        </is>
      </c>
      <c r="D256" s="2" t="inlineStr">
        <is>
          <t>Casablanca</t>
        </is>
      </c>
      <c r="E256" s="3" t="n">
        <v>1700000</v>
      </c>
      <c r="F256" s="4" t="n">
        <v>145</v>
      </c>
      <c r="G256" s="4" t="n"/>
      <c r="H256" s="4" t="n"/>
      <c r="I256" s="5">
        <f>IFERROR(E256/F256,"")</f>
        <v/>
      </c>
      <c r="J256" s="2" t="n">
        <v>3</v>
      </c>
      <c r="K256" s="2" t="n">
        <v>1</v>
      </c>
      <c r="L256" s="2" t="n"/>
      <c r="M256" s="2" t="n"/>
      <c r="N256" s="2" t="n"/>
      <c r="O256" s="2" t="n"/>
      <c r="P256" s="2" t="inlineStr">
        <is>
          <t>LISTED</t>
        </is>
      </c>
      <c r="Q256" s="2" t="n"/>
      <c r="R256" s="2" t="n"/>
      <c r="S256" s="2" t="n">
        <v>33.59412839522513</v>
      </c>
      <c r="T256" s="2" t="n">
        <v>-7.591548261818311</v>
      </c>
      <c r="U256" s="3" t="n">
        <v>9780</v>
      </c>
      <c r="V256" s="2" t="inlineStr"/>
      <c r="W256" s="6" t="inlineStr">
        <is>
          <t>https://yakeey.com/fr-ma/achat/biens/168546</t>
        </is>
      </c>
    </row>
    <row r="257">
      <c r="A257" t="inlineStr">
        <is>
          <t>168582</t>
        </is>
      </c>
      <c r="B257" t="inlineStr">
        <is>
          <t>APARTMENT</t>
        </is>
      </c>
      <c r="C257" t="inlineStr">
        <is>
          <t>Ain Diab</t>
        </is>
      </c>
      <c r="D257" t="inlineStr">
        <is>
          <t>Casablanca</t>
        </is>
      </c>
      <c r="E257" s="7" t="n">
        <v>2800000</v>
      </c>
      <c r="F257" s="8" t="n">
        <v>152</v>
      </c>
      <c r="G257" s="8" t="n"/>
      <c r="H257" s="8" t="n"/>
      <c r="I257" s="9">
        <f>IFERROR(E257/F257,"")</f>
        <v/>
      </c>
      <c r="J257" t="n">
        <v>2</v>
      </c>
      <c r="K257" t="n">
        <v>1</v>
      </c>
      <c r="P257" t="inlineStr">
        <is>
          <t>LISTED</t>
        </is>
      </c>
      <c r="S257" t="n">
        <v>33.57978229495782</v>
      </c>
      <c r="T257" t="n">
        <v>-7.678070239341011</v>
      </c>
      <c r="U257" s="7" t="n">
        <v>16108</v>
      </c>
      <c r="V257" t="inlineStr"/>
      <c r="W257" s="10" t="inlineStr">
        <is>
          <t>https://yakeey.com/fr-ma/achat/biens/168582</t>
        </is>
      </c>
    </row>
    <row r="258">
      <c r="A258" s="2" t="inlineStr">
        <is>
          <t>168689</t>
        </is>
      </c>
      <c r="B258" s="2" t="inlineStr">
        <is>
          <t>APARTMENT</t>
        </is>
      </c>
      <c r="C258" s="2" t="inlineStr">
        <is>
          <t>Tamaris2</t>
        </is>
      </c>
      <c r="D258" s="2" t="inlineStr">
        <is>
          <t>Dar Bouazza</t>
        </is>
      </c>
      <c r="E258" s="3" t="n">
        <v>1200000</v>
      </c>
      <c r="F258" s="4" t="n">
        <v>80</v>
      </c>
      <c r="G258" s="4" t="n"/>
      <c r="H258" s="4" t="n"/>
      <c r="I258" s="5">
        <f>IFERROR(E258/F258,"")</f>
        <v/>
      </c>
      <c r="J258" s="2" t="n">
        <v>2</v>
      </c>
      <c r="K258" s="2" t="n">
        <v>2</v>
      </c>
      <c r="L258" s="2" t="n"/>
      <c r="M258" s="2" t="n"/>
      <c r="N258" s="2" t="n"/>
      <c r="O258" s="2" t="n"/>
      <c r="P258" s="2" t="inlineStr">
        <is>
          <t>LISTED</t>
        </is>
      </c>
      <c r="Q258" s="2" t="n"/>
      <c r="R258" s="2" t="n"/>
      <c r="S258" s="2" t="n">
        <v>33.51901669435362</v>
      </c>
      <c r="T258" s="2" t="n">
        <v>-7.833893167708142</v>
      </c>
      <c r="U258" s="3" t="n">
        <v>6903</v>
      </c>
      <c r="V258" s="2" t="inlineStr"/>
      <c r="W258" s="6" t="inlineStr">
        <is>
          <t>https://yakeey.com/fr-ma/achat/biens/168689</t>
        </is>
      </c>
    </row>
    <row r="259">
      <c r="A259" t="inlineStr">
        <is>
          <t>16894</t>
        </is>
      </c>
      <c r="B259" t="inlineStr">
        <is>
          <t>APARTMENT</t>
        </is>
      </c>
      <c r="C259" t="inlineStr">
        <is>
          <t>Hopitaux</t>
        </is>
      </c>
      <c r="D259" t="inlineStr">
        <is>
          <t>Casablanca</t>
        </is>
      </c>
      <c r="E259" s="7" t="n">
        <v>2495000</v>
      </c>
      <c r="F259" s="8" t="n">
        <v>213</v>
      </c>
      <c r="G259" s="8" t="n"/>
      <c r="H259" s="8" t="n"/>
      <c r="I259" s="9">
        <f>IFERROR(E259/F259,"")</f>
        <v/>
      </c>
      <c r="J259" t="n">
        <v>3</v>
      </c>
      <c r="K259" t="n">
        <v>2</v>
      </c>
      <c r="P259" t="inlineStr">
        <is>
          <t>LISTED</t>
        </is>
      </c>
      <c r="S259" t="n">
        <v>33.57553118627283</v>
      </c>
      <c r="T259" t="n">
        <v>-7.615743828195114</v>
      </c>
      <c r="U259" s="7" t="n">
        <v>14353</v>
      </c>
      <c r="V259" t="inlineStr"/>
      <c r="W259" s="10" t="inlineStr">
        <is>
          <t>https://yakeey.com/fr-ma/achat/biens/16894</t>
        </is>
      </c>
    </row>
    <row r="260">
      <c r="A260" s="2" t="inlineStr">
        <is>
          <t>169251</t>
        </is>
      </c>
      <c r="B260" s="2" t="inlineStr">
        <is>
          <t>APARTMENT</t>
        </is>
      </c>
      <c r="C260" s="2" t="inlineStr">
        <is>
          <t>Racine</t>
        </is>
      </c>
      <c r="D260" s="2" t="inlineStr">
        <is>
          <t>Casablanca</t>
        </is>
      </c>
      <c r="E260" s="3" t="n">
        <v>2600000</v>
      </c>
      <c r="F260" s="4" t="n">
        <v>170</v>
      </c>
      <c r="G260" s="4" t="n"/>
      <c r="H260" s="4" t="n"/>
      <c r="I260" s="5">
        <f>IFERROR(E260/F260,"")</f>
        <v/>
      </c>
      <c r="J260" s="2" t="n">
        <v>3</v>
      </c>
      <c r="K260" s="2" t="n">
        <v>1</v>
      </c>
      <c r="L260" s="2" t="n"/>
      <c r="M260" s="2" t="n"/>
      <c r="N260" s="2" t="n"/>
      <c r="O260" s="2" t="n"/>
      <c r="P260" s="2" t="inlineStr">
        <is>
          <t>LISTED</t>
        </is>
      </c>
      <c r="Q260" s="2" t="n"/>
      <c r="R260" s="2" t="n"/>
      <c r="S260" s="2" t="n">
        <v>33.5922659675845</v>
      </c>
      <c r="T260" s="2" t="n">
        <v>-7.635569170739715</v>
      </c>
      <c r="U260" s="3" t="n">
        <v>14957</v>
      </c>
      <c r="V260" s="2" t="inlineStr"/>
      <c r="W260" s="6" t="inlineStr">
        <is>
          <t>https://yakeey.com/fr-ma/achat/biens/169251</t>
        </is>
      </c>
    </row>
    <row r="261">
      <c r="A261" t="inlineStr">
        <is>
          <t>169320</t>
        </is>
      </c>
      <c r="B261" t="inlineStr">
        <is>
          <t>APARTMENT</t>
        </is>
      </c>
      <c r="C261" t="inlineStr">
        <is>
          <t>Gauthier</t>
        </is>
      </c>
      <c r="D261" t="inlineStr">
        <is>
          <t>Casablanca</t>
        </is>
      </c>
      <c r="E261" s="7" t="n">
        <v>3500000</v>
      </c>
      <c r="F261" s="8" t="n">
        <v>217</v>
      </c>
      <c r="G261" s="8" t="n"/>
      <c r="H261" s="8" t="n"/>
      <c r="I261" s="9">
        <f>IFERROR(E261/F261,"")</f>
        <v/>
      </c>
      <c r="J261" t="n">
        <v>3</v>
      </c>
      <c r="K261" t="n">
        <v>2</v>
      </c>
      <c r="P261" t="inlineStr">
        <is>
          <t>LISTED</t>
        </is>
      </c>
      <c r="S261" t="n">
        <v>33.58876247752251</v>
      </c>
      <c r="T261" t="n">
        <v>-7.628423086560329</v>
      </c>
      <c r="U261" s="7" t="n">
        <v>20135</v>
      </c>
      <c r="V261" t="inlineStr"/>
      <c r="W261" s="10" t="inlineStr">
        <is>
          <t>https://yakeey.com/fr-ma/achat/biens/169320</t>
        </is>
      </c>
    </row>
    <row r="262">
      <c r="A262" s="2" t="inlineStr">
        <is>
          <t>169617</t>
        </is>
      </c>
      <c r="B262" s="2" t="inlineStr">
        <is>
          <t>APARTMENT</t>
        </is>
      </c>
      <c r="C262" s="2" t="inlineStr">
        <is>
          <t>Val Fleuri</t>
        </is>
      </c>
      <c r="D262" s="2" t="inlineStr">
        <is>
          <t>Casablanca</t>
        </is>
      </c>
      <c r="E262" s="3" t="n">
        <v>1850000</v>
      </c>
      <c r="F262" s="4" t="n">
        <v>124</v>
      </c>
      <c r="G262" s="4" t="n"/>
      <c r="H262" s="4" t="n"/>
      <c r="I262" s="5">
        <f>IFERROR(E262/F262,"")</f>
        <v/>
      </c>
      <c r="J262" s="2" t="n">
        <v>2</v>
      </c>
      <c r="K262" s="2" t="n">
        <v>2</v>
      </c>
      <c r="L262" s="2" t="n"/>
      <c r="M262" s="2" t="n"/>
      <c r="N262" s="2" t="n"/>
      <c r="O262" s="2" t="n"/>
      <c r="P262" s="2" t="inlineStr">
        <is>
          <t>LISTED</t>
        </is>
      </c>
      <c r="Q262" s="2" t="n"/>
      <c r="R262" s="2" t="n"/>
      <c r="S262" s="2" t="n">
        <v>33.57527393600415</v>
      </c>
      <c r="T262" s="2" t="n">
        <v>-7.637718579939197</v>
      </c>
      <c r="U262" s="3" t="n">
        <v>10643</v>
      </c>
      <c r="V262" s="2" t="inlineStr"/>
      <c r="W262" s="6" t="inlineStr">
        <is>
          <t>https://yakeey.com/fr-ma/achat/biens/169617</t>
        </is>
      </c>
    </row>
    <row r="263">
      <c r="A263" t="inlineStr">
        <is>
          <t>169851</t>
        </is>
      </c>
      <c r="B263" t="inlineStr">
        <is>
          <t>APARTMENT</t>
        </is>
      </c>
      <c r="C263" t="inlineStr">
        <is>
          <t>Nassim</t>
        </is>
      </c>
      <c r="D263" t="inlineStr">
        <is>
          <t>Casablanca</t>
        </is>
      </c>
      <c r="E263" s="7" t="n">
        <v>1180000</v>
      </c>
      <c r="F263" s="8" t="n">
        <v>98</v>
      </c>
      <c r="G263" s="8" t="n"/>
      <c r="H263" s="8" t="n"/>
      <c r="I263" s="9">
        <f>IFERROR(E263/F263,"")</f>
        <v/>
      </c>
      <c r="J263" t="n">
        <v>2</v>
      </c>
      <c r="K263" t="n">
        <v>2</v>
      </c>
      <c r="P263" t="inlineStr">
        <is>
          <t>LISTED</t>
        </is>
      </c>
      <c r="S263" t="n">
        <v>33.51924277940522</v>
      </c>
      <c r="T263" t="n">
        <v>-7.665877871765298</v>
      </c>
      <c r="U263" s="7" t="n">
        <v>6788</v>
      </c>
      <c r="V263" t="inlineStr"/>
      <c r="W263" s="10" t="inlineStr">
        <is>
          <t>https://yakeey.com/fr-ma/achat/biens/169851</t>
        </is>
      </c>
    </row>
    <row r="264">
      <c r="A264" s="2" t="inlineStr">
        <is>
          <t>169899</t>
        </is>
      </c>
      <c r="B264" s="2" t="inlineStr">
        <is>
          <t>APARTMENT</t>
        </is>
      </c>
      <c r="C264" s="2" t="inlineStr">
        <is>
          <t>Les Princesses</t>
        </is>
      </c>
      <c r="D264" s="2" t="inlineStr">
        <is>
          <t>Casablanca</t>
        </is>
      </c>
      <c r="E264" s="3" t="n">
        <v>2200000</v>
      </c>
      <c r="F264" s="4" t="n">
        <v>128</v>
      </c>
      <c r="G264" s="4" t="n"/>
      <c r="H264" s="4" t="n"/>
      <c r="I264" s="5">
        <f>IFERROR(E264/F264,"")</f>
        <v/>
      </c>
      <c r="J264" s="2" t="n">
        <v>3</v>
      </c>
      <c r="K264" s="2" t="n">
        <v>2</v>
      </c>
      <c r="L264" s="2" t="n"/>
      <c r="M264" s="2" t="n"/>
      <c r="N264" s="2" t="n"/>
      <c r="O264" s="2" t="n"/>
      <c r="P264" s="2" t="inlineStr">
        <is>
          <t>LISTED</t>
        </is>
      </c>
      <c r="Q264" s="2" t="n"/>
      <c r="R264" s="2" t="n"/>
      <c r="S264" s="2" t="n">
        <v>33.57685096211296</v>
      </c>
      <c r="T264" s="2" t="n">
        <v>-7.646313460270842</v>
      </c>
      <c r="U264" s="3" t="n">
        <v>12656</v>
      </c>
      <c r="V264" s="2" t="inlineStr"/>
      <c r="W264" s="6" t="inlineStr">
        <is>
          <t>https://yakeey.com/fr-ma/achat/biens/169899</t>
        </is>
      </c>
    </row>
    <row r="265">
      <c r="A265" t="inlineStr">
        <is>
          <t>170275</t>
        </is>
      </c>
      <c r="B265" t="inlineStr">
        <is>
          <t>APARTMENT</t>
        </is>
      </c>
      <c r="C265" t="inlineStr">
        <is>
          <t>Ain Diab</t>
        </is>
      </c>
      <c r="D265" t="inlineStr">
        <is>
          <t>Casablanca</t>
        </is>
      </c>
      <c r="E265" s="7" t="n">
        <v>3200000</v>
      </c>
      <c r="F265" s="8" t="n">
        <v>153</v>
      </c>
      <c r="G265" s="8" t="n"/>
      <c r="H265" s="8" t="n"/>
      <c r="I265" s="9">
        <f>IFERROR(E265/F265,"")</f>
        <v/>
      </c>
      <c r="J265" t="n">
        <v>3</v>
      </c>
      <c r="K265" t="n">
        <v>2</v>
      </c>
      <c r="P265" t="inlineStr">
        <is>
          <t>SOLD_OUT</t>
        </is>
      </c>
      <c r="S265" t="n">
        <v>33.58460615213423</v>
      </c>
      <c r="T265" t="n">
        <v>-7.680154429136893</v>
      </c>
      <c r="U265" s="7" t="n">
        <v>18409</v>
      </c>
      <c r="V265" t="inlineStr"/>
      <c r="W265" s="10" t="inlineStr">
        <is>
          <t>https://yakeey.com/fr-ma/achat/biens/170275</t>
        </is>
      </c>
    </row>
    <row r="266">
      <c r="A266" s="2" t="inlineStr">
        <is>
          <t>170344</t>
        </is>
      </c>
      <c r="B266" s="2" t="inlineStr">
        <is>
          <t>APARTMENT</t>
        </is>
      </c>
      <c r="C266" s="2" t="inlineStr">
        <is>
          <t>Racine</t>
        </is>
      </c>
      <c r="D266" s="2" t="inlineStr">
        <is>
          <t>Casablanca</t>
        </is>
      </c>
      <c r="E266" s="3" t="n">
        <v>4080000</v>
      </c>
      <c r="F266" s="4" t="n">
        <v>240</v>
      </c>
      <c r="G266" s="4" t="n"/>
      <c r="H266" s="4" t="n"/>
      <c r="I266" s="5">
        <f>IFERROR(E266/F266,"")</f>
        <v/>
      </c>
      <c r="J266" s="2" t="n">
        <v>3</v>
      </c>
      <c r="K266" s="2" t="n">
        <v>2</v>
      </c>
      <c r="L266" s="2" t="n"/>
      <c r="M266" s="2" t="n"/>
      <c r="N266" s="2" t="n"/>
      <c r="O266" s="2" t="n"/>
      <c r="P266" s="2" t="inlineStr">
        <is>
          <t>LISTED</t>
        </is>
      </c>
      <c r="Q266" s="2" t="n"/>
      <c r="R266" s="2" t="n"/>
      <c r="S266" s="2" t="n">
        <v>33.59262738211948</v>
      </c>
      <c r="T266" s="2" t="n">
        <v>-7.644955940973967</v>
      </c>
      <c r="U266" s="3" t="n">
        <v>23472</v>
      </c>
      <c r="V266" s="2" t="inlineStr"/>
      <c r="W266" s="6" t="inlineStr">
        <is>
          <t>https://yakeey.com/fr-ma/achat/biens/170344</t>
        </is>
      </c>
    </row>
    <row r="267">
      <c r="A267" t="inlineStr">
        <is>
          <t>170405</t>
        </is>
      </c>
      <c r="B267" t="inlineStr">
        <is>
          <t>APARTMENT</t>
        </is>
      </c>
      <c r="C267" t="inlineStr">
        <is>
          <t>Les Princesses</t>
        </is>
      </c>
      <c r="D267" t="inlineStr">
        <is>
          <t>Casablanca</t>
        </is>
      </c>
      <c r="E267" s="7" t="n">
        <v>2000000</v>
      </c>
      <c r="F267" s="8" t="n">
        <v>120</v>
      </c>
      <c r="G267" s="8" t="n"/>
      <c r="H267" s="8" t="n"/>
      <c r="I267" s="9">
        <f>IFERROR(E267/F267,"")</f>
        <v/>
      </c>
      <c r="J267" t="n">
        <v>3</v>
      </c>
      <c r="K267" t="n">
        <v>1</v>
      </c>
      <c r="P267" t="inlineStr">
        <is>
          <t>LISTED</t>
        </is>
      </c>
      <c r="S267" t="n">
        <v>33.57573275752141</v>
      </c>
      <c r="T267" t="n">
        <v>-7.642182816776353</v>
      </c>
      <c r="U267" s="7" t="n">
        <v>11506</v>
      </c>
      <c r="V267" t="inlineStr"/>
      <c r="W267" s="10" t="inlineStr">
        <is>
          <t>https://yakeey.com/fr-ma/achat/biens/170405</t>
        </is>
      </c>
    </row>
    <row r="268">
      <c r="A268" s="2" t="inlineStr">
        <is>
          <t>170557</t>
        </is>
      </c>
      <c r="B268" s="2" t="inlineStr">
        <is>
          <t>APARTMENT</t>
        </is>
      </c>
      <c r="C268" s="2" t="inlineStr">
        <is>
          <t>Hopitaux</t>
        </is>
      </c>
      <c r="D268" s="2" t="inlineStr">
        <is>
          <t>Casablanca</t>
        </is>
      </c>
      <c r="E268" s="3" t="n">
        <v>1950000</v>
      </c>
      <c r="F268" s="4" t="n">
        <v>108</v>
      </c>
      <c r="G268" s="4" t="n"/>
      <c r="H268" s="4" t="n"/>
      <c r="I268" s="5">
        <f>IFERROR(E268/F268,"")</f>
        <v/>
      </c>
      <c r="J268" s="2" t="n">
        <v>2</v>
      </c>
      <c r="K268" s="2" t="n">
        <v>2</v>
      </c>
      <c r="L268" s="2" t="n"/>
      <c r="M268" s="2" t="n"/>
      <c r="N268" s="2" t="n"/>
      <c r="O268" s="2" t="n"/>
      <c r="P268" s="2" t="inlineStr">
        <is>
          <t>LISTED</t>
        </is>
      </c>
      <c r="Q268" s="2" t="n"/>
      <c r="R268" s="2" t="n"/>
      <c r="S268" s="2" t="n">
        <v>33.56981899672964</v>
      </c>
      <c r="T268" s="2" t="n">
        <v>-7.616518338042558</v>
      </c>
      <c r="U268" s="3" t="n">
        <v>11218</v>
      </c>
      <c r="V268" s="2" t="inlineStr"/>
      <c r="W268" s="6" t="inlineStr">
        <is>
          <t>https://yakeey.com/fr-ma/achat/biens/170557</t>
        </is>
      </c>
    </row>
    <row r="269">
      <c r="A269" t="inlineStr">
        <is>
          <t>170655</t>
        </is>
      </c>
      <c r="B269" t="inlineStr">
        <is>
          <t>APARTMENT</t>
        </is>
      </c>
      <c r="C269" t="inlineStr">
        <is>
          <t>Les Princesses</t>
        </is>
      </c>
      <c r="D269" t="inlineStr">
        <is>
          <t>Casablanca</t>
        </is>
      </c>
      <c r="E269" s="7" t="n">
        <v>2150000</v>
      </c>
      <c r="F269" s="8" t="n">
        <v>165</v>
      </c>
      <c r="G269" s="8" t="n"/>
      <c r="H269" s="8" t="n"/>
      <c r="I269" s="9">
        <f>IFERROR(E269/F269,"")</f>
        <v/>
      </c>
      <c r="J269" t="n">
        <v>3</v>
      </c>
      <c r="K269" t="n">
        <v>2</v>
      </c>
      <c r="P269" t="inlineStr">
        <is>
          <t>LISTED</t>
        </is>
      </c>
      <c r="S269" t="n">
        <v>33.57757317763267</v>
      </c>
      <c r="T269" t="n">
        <v>-7.647860595157588</v>
      </c>
      <c r="U269" s="7" t="n">
        <v>12369</v>
      </c>
      <c r="V269" t="inlineStr"/>
      <c r="W269" s="10" t="inlineStr">
        <is>
          <t>https://yakeey.com/fr-ma/achat/biens/170655</t>
        </is>
      </c>
    </row>
    <row r="270">
      <c r="A270" s="2" t="inlineStr">
        <is>
          <t>170679</t>
        </is>
      </c>
      <c r="B270" s="2" t="inlineStr">
        <is>
          <t>APARTMENT</t>
        </is>
      </c>
      <c r="C270" s="2" t="inlineStr">
        <is>
          <t>Maarif Extension</t>
        </is>
      </c>
      <c r="D270" s="2" t="inlineStr">
        <is>
          <t>Casablanca</t>
        </is>
      </c>
      <c r="E270" s="3" t="n">
        <v>1300000</v>
      </c>
      <c r="F270" s="4" t="n">
        <v>154</v>
      </c>
      <c r="G270" s="4" t="n"/>
      <c r="H270" s="4" t="n"/>
      <c r="I270" s="5">
        <f>IFERROR(E270/F270,"")</f>
        <v/>
      </c>
      <c r="J270" s="2" t="n">
        <v>3</v>
      </c>
      <c r="K270" s="2" t="n">
        <v>2</v>
      </c>
      <c r="L270" s="2" t="n"/>
      <c r="M270" s="2" t="n"/>
      <c r="N270" s="2" t="n"/>
      <c r="O270" s="2" t="n"/>
      <c r="P270" s="2" t="inlineStr">
        <is>
          <t>LISTED</t>
        </is>
      </c>
      <c r="Q270" s="2" t="n"/>
      <c r="R270" s="2" t="n"/>
      <c r="S270" s="2" t="n">
        <v>33.57896596400088</v>
      </c>
      <c r="T270" s="2" t="n">
        <v>-7.639201821047867</v>
      </c>
      <c r="U270" s="3" t="n">
        <v>7478</v>
      </c>
      <c r="V270" s="2" t="inlineStr"/>
      <c r="W270" s="6" t="inlineStr">
        <is>
          <t>https://yakeey.com/fr-ma/achat/biens/170679</t>
        </is>
      </c>
    </row>
    <row r="271">
      <c r="A271" t="inlineStr">
        <is>
          <t>170844</t>
        </is>
      </c>
      <c r="B271" t="inlineStr">
        <is>
          <t>APARTMENT</t>
        </is>
      </c>
      <c r="C271" t="inlineStr">
        <is>
          <t>Lekrimat</t>
        </is>
      </c>
      <c r="D271" t="inlineStr">
        <is>
          <t>Casablanca</t>
        </is>
      </c>
      <c r="E271" s="7" t="n">
        <v>1850000</v>
      </c>
      <c r="F271" s="8" t="n">
        <v>127</v>
      </c>
      <c r="G271" s="8" t="n"/>
      <c r="H271" s="8" t="n"/>
      <c r="I271" s="9">
        <f>IFERROR(E271/F271,"")</f>
        <v/>
      </c>
      <c r="J271" t="n">
        <v>3</v>
      </c>
      <c r="K271" t="n">
        <v>2</v>
      </c>
      <c r="P271" t="inlineStr">
        <is>
          <t>LISTED</t>
        </is>
      </c>
      <c r="S271" t="n">
        <v>33.53796011980493</v>
      </c>
      <c r="T271" t="n">
        <v>-7.617438607413423</v>
      </c>
      <c r="U271" s="7" t="n">
        <v>10643</v>
      </c>
      <c r="V271" t="inlineStr"/>
      <c r="W271" s="10" t="inlineStr">
        <is>
          <t>https://yakeey.com/fr-ma/achat/biens/170844</t>
        </is>
      </c>
    </row>
    <row r="272">
      <c r="A272" s="2" t="inlineStr">
        <is>
          <t>170850</t>
        </is>
      </c>
      <c r="B272" s="2" t="inlineStr">
        <is>
          <t>APARTMENT</t>
        </is>
      </c>
      <c r="C272" s="2" t="inlineStr">
        <is>
          <t>Californie</t>
        </is>
      </c>
      <c r="D272" s="2" t="inlineStr">
        <is>
          <t>Casablanca</t>
        </is>
      </c>
      <c r="E272" s="3" t="n">
        <v>1750000</v>
      </c>
      <c r="F272" s="4" t="n">
        <v>111</v>
      </c>
      <c r="G272" s="4" t="n"/>
      <c r="H272" s="4" t="n"/>
      <c r="I272" s="5">
        <f>IFERROR(E272/F272,"")</f>
        <v/>
      </c>
      <c r="J272" s="2" t="n">
        <v>2</v>
      </c>
      <c r="K272" s="2" t="n">
        <v>2</v>
      </c>
      <c r="L272" s="2" t="n"/>
      <c r="M272" s="2" t="n"/>
      <c r="N272" s="2" t="n"/>
      <c r="O272" s="2" t="n"/>
      <c r="P272" s="2" t="inlineStr">
        <is>
          <t>LISTED</t>
        </is>
      </c>
      <c r="Q272" s="2" t="n"/>
      <c r="R272" s="2" t="n"/>
      <c r="S272" s="2" t="n">
        <v>33.54403793323111</v>
      </c>
      <c r="T272" s="2" t="n">
        <v>-7.64212890682573</v>
      </c>
      <c r="U272" s="3" t="n">
        <v>10067</v>
      </c>
      <c r="V272" s="2" t="inlineStr"/>
      <c r="W272" s="6" t="inlineStr">
        <is>
          <t>https://yakeey.com/fr-ma/achat/biens/170850</t>
        </is>
      </c>
    </row>
    <row r="273">
      <c r="A273" t="inlineStr">
        <is>
          <t>170907</t>
        </is>
      </c>
      <c r="B273" t="inlineStr">
        <is>
          <t>APARTMENT</t>
        </is>
      </c>
      <c r="C273" t="inlineStr">
        <is>
          <t>Gauthier</t>
        </is>
      </c>
      <c r="D273" t="inlineStr">
        <is>
          <t>Casablanca</t>
        </is>
      </c>
      <c r="E273" s="7" t="n">
        <v>4200000</v>
      </c>
      <c r="F273" s="8" t="n">
        <v>253</v>
      </c>
      <c r="G273" s="8" t="n"/>
      <c r="H273" s="8" t="n"/>
      <c r="I273" s="9">
        <f>IFERROR(E273/F273,"")</f>
        <v/>
      </c>
      <c r="J273" t="n">
        <v>4</v>
      </c>
      <c r="K273" t="n">
        <v>3</v>
      </c>
      <c r="P273" t="inlineStr">
        <is>
          <t>LISTED</t>
        </is>
      </c>
      <c r="S273" t="n">
        <v>33.59172916370495</v>
      </c>
      <c r="T273" t="n">
        <v>-7.631027682825874</v>
      </c>
      <c r="U273" s="7" t="n">
        <v>24162</v>
      </c>
      <c r="V273" t="inlineStr"/>
      <c r="W273" s="10" t="inlineStr">
        <is>
          <t>https://yakeey.com/fr-ma/achat/biens/170907</t>
        </is>
      </c>
    </row>
    <row r="274">
      <c r="A274" s="2" t="inlineStr">
        <is>
          <t>170912</t>
        </is>
      </c>
      <c r="B274" s="2" t="inlineStr">
        <is>
          <t>APARTMENT</t>
        </is>
      </c>
      <c r="C274" s="2" t="inlineStr">
        <is>
          <t>Les Princesses</t>
        </is>
      </c>
      <c r="D274" s="2" t="inlineStr">
        <is>
          <t>Casablanca</t>
        </is>
      </c>
      <c r="E274" s="3" t="n">
        <v>2500000</v>
      </c>
      <c r="F274" s="4" t="n">
        <v>164</v>
      </c>
      <c r="G274" s="4" t="n"/>
      <c r="H274" s="4" t="n"/>
      <c r="I274" s="5">
        <f>IFERROR(E274/F274,"")</f>
        <v/>
      </c>
      <c r="J274" s="2" t="n">
        <v>3</v>
      </c>
      <c r="K274" s="2" t="n">
        <v>2</v>
      </c>
      <c r="L274" s="2" t="n"/>
      <c r="M274" s="2" t="n"/>
      <c r="N274" s="2" t="n"/>
      <c r="O274" s="2" t="n"/>
      <c r="P274" s="2" t="inlineStr">
        <is>
          <t>LISTED</t>
        </is>
      </c>
      <c r="Q274" s="2" t="n"/>
      <c r="R274" s="2" t="n"/>
      <c r="S274" s="2" t="n">
        <v>33.57615385068236</v>
      </c>
      <c r="T274" s="2" t="n">
        <v>-7.646603948400325</v>
      </c>
      <c r="U274" s="3" t="n">
        <v>14382</v>
      </c>
      <c r="V274" s="2" t="inlineStr"/>
      <c r="W274" s="6" t="inlineStr">
        <is>
          <t>https://yakeey.com/fr-ma/achat/biens/170912</t>
        </is>
      </c>
    </row>
    <row r="275">
      <c r="A275" t="inlineStr">
        <is>
          <t>170933</t>
        </is>
      </c>
      <c r="B275" t="inlineStr">
        <is>
          <t>APARTMENT</t>
        </is>
      </c>
      <c r="C275" t="inlineStr">
        <is>
          <t>Palmier (Maarif)</t>
        </is>
      </c>
      <c r="D275" t="inlineStr">
        <is>
          <t>Casablanca</t>
        </is>
      </c>
      <c r="E275" s="7" t="n">
        <v>2965000</v>
      </c>
      <c r="F275" s="8" t="n">
        <v>219</v>
      </c>
      <c r="G275" s="8" t="n"/>
      <c r="H275" s="8" t="n"/>
      <c r="I275" s="9">
        <f>IFERROR(E275/F275,"")</f>
        <v/>
      </c>
      <c r="J275" t="n">
        <v>3</v>
      </c>
      <c r="K275" t="n">
        <v>2</v>
      </c>
      <c r="P275" t="inlineStr">
        <is>
          <t>LISTED</t>
        </is>
      </c>
      <c r="S275" t="n">
        <v>33.58445528837804</v>
      </c>
      <c r="T275" t="n">
        <v>-7.628644144120977</v>
      </c>
      <c r="U275" s="7" t="n">
        <v>17057</v>
      </c>
      <c r="V275" t="inlineStr"/>
      <c r="W275" s="10" t="inlineStr">
        <is>
          <t>https://yakeey.com/fr-ma/achat/biens/170933</t>
        </is>
      </c>
    </row>
    <row r="276">
      <c r="A276" s="2" t="inlineStr">
        <is>
          <t>171510</t>
        </is>
      </c>
      <c r="B276" s="2" t="inlineStr">
        <is>
          <t>APARTMENT</t>
        </is>
      </c>
      <c r="C276" s="2" t="inlineStr">
        <is>
          <t>Ain Chock</t>
        </is>
      </c>
      <c r="D276" s="2" t="inlineStr">
        <is>
          <t>Casablanca</t>
        </is>
      </c>
      <c r="E276" s="3" t="n">
        <v>750000</v>
      </c>
      <c r="F276" s="4" t="n">
        <v>92</v>
      </c>
      <c r="G276" s="4" t="n"/>
      <c r="H276" s="4" t="n"/>
      <c r="I276" s="5">
        <f>IFERROR(E276/F276,"")</f>
        <v/>
      </c>
      <c r="J276" s="2" t="n">
        <v>2</v>
      </c>
      <c r="K276" s="2" t="n">
        <v>2</v>
      </c>
      <c r="L276" s="2" t="n"/>
      <c r="M276" s="2" t="n"/>
      <c r="N276" s="2" t="n"/>
      <c r="O276" s="2" t="n"/>
      <c r="P276" s="2" t="inlineStr">
        <is>
          <t>LISTED</t>
        </is>
      </c>
      <c r="Q276" s="2" t="n"/>
      <c r="R276" s="2" t="n"/>
      <c r="S276" s="2" t="n">
        <v>33.55635851778077</v>
      </c>
      <c r="T276" s="2" t="n">
        <v>-7.603437040466743</v>
      </c>
      <c r="U276" s="3" t="n">
        <v>4314</v>
      </c>
      <c r="V276" s="2" t="inlineStr"/>
      <c r="W276" s="6" t="inlineStr">
        <is>
          <t>https://yakeey.com/fr-ma/achat/biens/171510</t>
        </is>
      </c>
    </row>
    <row r="277">
      <c r="A277" t="inlineStr">
        <is>
          <t>171575</t>
        </is>
      </c>
      <c r="B277" t="inlineStr">
        <is>
          <t>APARTMENT</t>
        </is>
      </c>
      <c r="C277" t="inlineStr">
        <is>
          <t>Val Fleuri</t>
        </is>
      </c>
      <c r="D277" t="inlineStr">
        <is>
          <t>Casablanca</t>
        </is>
      </c>
      <c r="E277" s="7" t="n">
        <v>2600000</v>
      </c>
      <c r="F277" s="8" t="n">
        <v>188</v>
      </c>
      <c r="G277" s="8" t="n"/>
      <c r="H277" s="8" t="n"/>
      <c r="I277" s="9">
        <f>IFERROR(E277/F277,"")</f>
        <v/>
      </c>
      <c r="J277" t="n">
        <v>3</v>
      </c>
      <c r="K277" t="n">
        <v>2</v>
      </c>
      <c r="P277" t="inlineStr">
        <is>
          <t>LISTED</t>
        </is>
      </c>
      <c r="S277" t="n">
        <v>33.57383659797085</v>
      </c>
      <c r="T277" t="n">
        <v>-7.63568653099825</v>
      </c>
      <c r="U277" s="7" t="n">
        <v>14957</v>
      </c>
      <c r="V277" t="inlineStr"/>
      <c r="W277" s="10" t="inlineStr">
        <is>
          <t>https://yakeey.com/fr-ma/achat/biens/171575</t>
        </is>
      </c>
    </row>
    <row r="278">
      <c r="A278" s="2" t="inlineStr">
        <is>
          <t>171599</t>
        </is>
      </c>
      <c r="B278" s="2" t="inlineStr">
        <is>
          <t>APARTMENT</t>
        </is>
      </c>
      <c r="C278" s="2" t="inlineStr">
        <is>
          <t>Hopitaux</t>
        </is>
      </c>
      <c r="D278" s="2" t="inlineStr">
        <is>
          <t>Casablanca</t>
        </is>
      </c>
      <c r="E278" s="3" t="n">
        <v>2050000</v>
      </c>
      <c r="F278" s="4" t="n">
        <v>163</v>
      </c>
      <c r="G278" s="4" t="n"/>
      <c r="H278" s="4" t="n"/>
      <c r="I278" s="5">
        <f>IFERROR(E278/F278,"")</f>
        <v/>
      </c>
      <c r="J278" s="2" t="n">
        <v>3</v>
      </c>
      <c r="K278" s="2" t="n">
        <v>4</v>
      </c>
      <c r="L278" s="2" t="n"/>
      <c r="M278" s="2" t="n"/>
      <c r="N278" s="2" t="n"/>
      <c r="O278" s="2" t="n"/>
      <c r="P278" s="2" t="inlineStr">
        <is>
          <t>LISTED</t>
        </is>
      </c>
      <c r="Q278" s="2" t="n"/>
      <c r="R278" s="2" t="n"/>
      <c r="S278" s="2" t="n">
        <v>33.57293962925356</v>
      </c>
      <c r="T278" s="2" t="n">
        <v>-7.617179178799539</v>
      </c>
      <c r="U278" s="3" t="n">
        <v>11793</v>
      </c>
      <c r="V278" s="2" t="inlineStr"/>
      <c r="W278" s="6" t="inlineStr">
        <is>
          <t>https://yakeey.com/fr-ma/achat/biens/171599</t>
        </is>
      </c>
    </row>
    <row r="279">
      <c r="A279" t="inlineStr">
        <is>
          <t>171609</t>
        </is>
      </c>
      <c r="B279" t="inlineStr">
        <is>
          <t>APARTMENT</t>
        </is>
      </c>
      <c r="C279" t="inlineStr">
        <is>
          <t>Derb Ghalef</t>
        </is>
      </c>
      <c r="D279" t="inlineStr">
        <is>
          <t>Casablanca</t>
        </is>
      </c>
      <c r="E279" s="7" t="n">
        <v>1400000</v>
      </c>
      <c r="F279" s="8" t="n">
        <v>106</v>
      </c>
      <c r="G279" s="8" t="n"/>
      <c r="H279" s="8" t="n"/>
      <c r="I279" s="9">
        <f>IFERROR(E279/F279,"")</f>
        <v/>
      </c>
      <c r="J279" t="n">
        <v>2</v>
      </c>
      <c r="K279" t="n">
        <v>2</v>
      </c>
      <c r="P279" t="inlineStr">
        <is>
          <t>LISTED</t>
        </is>
      </c>
      <c r="S279" t="n">
        <v>33.57360300874474</v>
      </c>
      <c r="T279" t="n">
        <v>-7.62615368313091</v>
      </c>
      <c r="U279" s="7" t="n">
        <v>8054</v>
      </c>
      <c r="V279" t="inlineStr"/>
      <c r="W279" s="10" t="inlineStr">
        <is>
          <t>https://yakeey.com/fr-ma/achat/biens/171609</t>
        </is>
      </c>
    </row>
    <row r="280">
      <c r="A280" s="2" t="inlineStr">
        <is>
          <t>171653</t>
        </is>
      </c>
      <c r="B280" s="2" t="inlineStr">
        <is>
          <t>APARTMENT</t>
        </is>
      </c>
      <c r="C280" s="2" t="inlineStr">
        <is>
          <t>Beausite</t>
        </is>
      </c>
      <c r="D280" s="2" t="inlineStr">
        <is>
          <t>Casablanca</t>
        </is>
      </c>
      <c r="E280" s="3" t="n">
        <v>450000</v>
      </c>
      <c r="F280" s="4" t="n">
        <v>71</v>
      </c>
      <c r="G280" s="4" t="n"/>
      <c r="H280" s="4" t="n"/>
      <c r="I280" s="5">
        <f>IFERROR(E280/F280,"")</f>
        <v/>
      </c>
      <c r="J280" s="2" t="n">
        <v>3</v>
      </c>
      <c r="K280" s="2" t="n">
        <v>1</v>
      </c>
      <c r="L280" s="2" t="n"/>
      <c r="M280" s="2" t="n"/>
      <c r="N280" s="2" t="n"/>
      <c r="O280" s="2" t="n"/>
      <c r="P280" s="2" t="inlineStr">
        <is>
          <t>LISTED</t>
        </is>
      </c>
      <c r="Q280" s="2" t="n"/>
      <c r="R280" s="2" t="n"/>
      <c r="S280" s="2" t="n">
        <v>33.59762545389951</v>
      </c>
      <c r="T280" s="2" t="n">
        <v>-7.518736604269445</v>
      </c>
      <c r="U280" s="3" t="n">
        <v>2588</v>
      </c>
      <c r="V280" s="2" t="inlineStr"/>
      <c r="W280" s="6" t="inlineStr">
        <is>
          <t>https://yakeey.com/fr-ma/achat/biens/171653</t>
        </is>
      </c>
    </row>
    <row r="281">
      <c r="A281" t="inlineStr">
        <is>
          <t>171673</t>
        </is>
      </c>
      <c r="B281" t="inlineStr">
        <is>
          <t>APARTMENT</t>
        </is>
      </c>
      <c r="C281" t="inlineStr">
        <is>
          <t>Oulfa</t>
        </is>
      </c>
      <c r="D281" t="inlineStr">
        <is>
          <t>Casablanca</t>
        </is>
      </c>
      <c r="E281" s="7" t="n">
        <v>800000</v>
      </c>
      <c r="F281" s="8" t="n">
        <v>76</v>
      </c>
      <c r="G281" s="8" t="n"/>
      <c r="H281" s="8" t="n"/>
      <c r="I281" s="9">
        <f>IFERROR(E281/F281,"")</f>
        <v/>
      </c>
      <c r="J281" t="n">
        <v>2</v>
      </c>
      <c r="K281" t="n">
        <v>1</v>
      </c>
      <c r="P281" t="inlineStr">
        <is>
          <t>LISTED</t>
        </is>
      </c>
      <c r="S281" t="n">
        <v>33.5491211724601</v>
      </c>
      <c r="T281" t="n">
        <v>-7.697171708256167</v>
      </c>
      <c r="U281" s="7" t="n">
        <v>4602</v>
      </c>
      <c r="V281" t="inlineStr"/>
      <c r="W281" s="10" t="inlineStr">
        <is>
          <t>https://yakeey.com/fr-ma/achat/biens/171673</t>
        </is>
      </c>
    </row>
    <row r="282">
      <c r="A282" s="2" t="inlineStr">
        <is>
          <t>171766</t>
        </is>
      </c>
      <c r="B282" s="2" t="inlineStr">
        <is>
          <t>APARTMENT</t>
        </is>
      </c>
      <c r="C282" s="2" t="inlineStr">
        <is>
          <t>Palmier (Maarif)</t>
        </is>
      </c>
      <c r="D282" s="2" t="inlineStr">
        <is>
          <t>Casablanca</t>
        </is>
      </c>
      <c r="E282" s="3" t="n">
        <v>2250000</v>
      </c>
      <c r="F282" s="4" t="n">
        <v>114</v>
      </c>
      <c r="G282" s="4" t="n"/>
      <c r="H282" s="4" t="n"/>
      <c r="I282" s="5">
        <f>IFERROR(E282/F282,"")</f>
        <v/>
      </c>
      <c r="J282" s="2" t="n">
        <v>2</v>
      </c>
      <c r="K282" s="2" t="n">
        <v>2</v>
      </c>
      <c r="L282" s="2" t="n"/>
      <c r="M282" s="2" t="n"/>
      <c r="N282" s="2" t="n"/>
      <c r="O282" s="2" t="n"/>
      <c r="P282" s="2" t="inlineStr">
        <is>
          <t>LISTED</t>
        </is>
      </c>
      <c r="Q282" s="2" t="n"/>
      <c r="R282" s="2" t="n"/>
      <c r="S282" s="2" t="n">
        <v>33.58424737909542</v>
      </c>
      <c r="T282" s="2" t="n">
        <v>-7.627345311469383</v>
      </c>
      <c r="U282" s="3" t="n">
        <v>12944</v>
      </c>
      <c r="V282" s="2" t="inlineStr"/>
      <c r="W282" s="6" t="inlineStr">
        <is>
          <t>https://yakeey.com/fr-ma/achat/biens/171766</t>
        </is>
      </c>
    </row>
    <row r="283">
      <c r="A283" t="inlineStr">
        <is>
          <t>171773</t>
        </is>
      </c>
      <c r="B283" t="inlineStr">
        <is>
          <t>APARTMENT</t>
        </is>
      </c>
      <c r="C283" t="inlineStr">
        <is>
          <t>Franceville</t>
        </is>
      </c>
      <c r="D283" t="inlineStr">
        <is>
          <t>Casablanca</t>
        </is>
      </c>
      <c r="E283" s="7" t="n">
        <v>1750000</v>
      </c>
      <c r="F283" s="8" t="n">
        <v>78</v>
      </c>
      <c r="G283" s="8" t="n"/>
      <c r="H283" s="8" t="n"/>
      <c r="I283" s="9">
        <f>IFERROR(E283/F283,"")</f>
        <v/>
      </c>
      <c r="J283" t="n">
        <v>2</v>
      </c>
      <c r="K283" t="n">
        <v>2</v>
      </c>
      <c r="P283" t="inlineStr">
        <is>
          <t>LISTED</t>
        </is>
      </c>
      <c r="S283" t="n">
        <v>33.56638979469643</v>
      </c>
      <c r="T283" t="n">
        <v>-7.621821101933781</v>
      </c>
      <c r="U283" s="7" t="n">
        <v>10067</v>
      </c>
      <c r="V283" t="inlineStr"/>
      <c r="W283" s="10" t="inlineStr">
        <is>
          <t>https://yakeey.com/fr-ma/achat/biens/171773</t>
        </is>
      </c>
    </row>
    <row r="284">
      <c r="A284" s="2" t="inlineStr">
        <is>
          <t>171812</t>
        </is>
      </c>
      <c r="B284" s="2" t="inlineStr">
        <is>
          <t>APARTMENT</t>
        </is>
      </c>
      <c r="C284" s="2" t="inlineStr">
        <is>
          <t>Maarif</t>
        </is>
      </c>
      <c r="D284" s="2" t="inlineStr">
        <is>
          <t>Casablanca</t>
        </is>
      </c>
      <c r="E284" s="3" t="n">
        <v>1600000</v>
      </c>
      <c r="F284" s="4" t="n">
        <v>112</v>
      </c>
      <c r="G284" s="4" t="n"/>
      <c r="H284" s="4" t="n"/>
      <c r="I284" s="5">
        <f>IFERROR(E284/F284,"")</f>
        <v/>
      </c>
      <c r="J284" s="2" t="n">
        <v>2</v>
      </c>
      <c r="K284" s="2" t="n">
        <v>2</v>
      </c>
      <c r="L284" s="2" t="n"/>
      <c r="M284" s="2" t="n"/>
      <c r="N284" s="2" t="n"/>
      <c r="O284" s="2" t="n"/>
      <c r="P284" s="2" t="inlineStr">
        <is>
          <t>LISTED</t>
        </is>
      </c>
      <c r="Q284" s="2" t="n"/>
      <c r="R284" s="2" t="n"/>
      <c r="S284" s="2" t="n">
        <v>33.58131033492506</v>
      </c>
      <c r="T284" s="2" t="n">
        <v>-7.641641731694908</v>
      </c>
      <c r="U284" s="3" t="n">
        <v>9204</v>
      </c>
      <c r="V284" s="2" t="inlineStr"/>
      <c r="W284" s="6" t="inlineStr">
        <is>
          <t>https://yakeey.com/fr-ma/achat/biens/171812</t>
        </is>
      </c>
    </row>
    <row r="285">
      <c r="A285" t="inlineStr">
        <is>
          <t>171908</t>
        </is>
      </c>
      <c r="B285" t="inlineStr">
        <is>
          <t>APARTMENT</t>
        </is>
      </c>
      <c r="C285" t="inlineStr">
        <is>
          <t>Mandarouna</t>
        </is>
      </c>
      <c r="D285" t="inlineStr">
        <is>
          <t>Casablanca</t>
        </is>
      </c>
      <c r="E285" s="7" t="n">
        <v>1125000</v>
      </c>
      <c r="F285" s="8" t="n">
        <v>111</v>
      </c>
      <c r="G285" s="8" t="n"/>
      <c r="H285" s="8" t="n"/>
      <c r="I285" s="9">
        <f>IFERROR(E285/F285,"")</f>
        <v/>
      </c>
      <c r="J285" t="n">
        <v>3</v>
      </c>
      <c r="K285" t="n">
        <v>1</v>
      </c>
      <c r="P285" t="inlineStr">
        <is>
          <t>LISTED</t>
        </is>
      </c>
      <c r="S285" t="n">
        <v>33.53455782086969</v>
      </c>
      <c r="T285" t="n">
        <v>-7.60390661391004</v>
      </c>
      <c r="U285" s="7" t="n">
        <v>6472</v>
      </c>
      <c r="V285" t="inlineStr"/>
      <c r="W285" s="10" t="inlineStr">
        <is>
          <t>https://yakeey.com/fr-ma/achat/biens/171908</t>
        </is>
      </c>
    </row>
    <row r="286">
      <c r="A286" s="2" t="inlineStr">
        <is>
          <t>172161</t>
        </is>
      </c>
      <c r="B286" s="2" t="inlineStr">
        <is>
          <t>APARTMENT</t>
        </is>
      </c>
      <c r="C286" s="2" t="inlineStr">
        <is>
          <t>Ain Diab</t>
        </is>
      </c>
      <c r="D286" s="2" t="inlineStr">
        <is>
          <t>Casablanca</t>
        </is>
      </c>
      <c r="E286" s="3" t="n">
        <v>7500000</v>
      </c>
      <c r="F286" s="4" t="n">
        <v>208</v>
      </c>
      <c r="G286" s="4" t="n"/>
      <c r="H286" s="4" t="n"/>
      <c r="I286" s="5">
        <f>IFERROR(E286/F286,"")</f>
        <v/>
      </c>
      <c r="J286" s="2" t="n">
        <v>3</v>
      </c>
      <c r="K286" s="2" t="n">
        <v>2</v>
      </c>
      <c r="L286" s="2" t="n"/>
      <c r="M286" s="2" t="n"/>
      <c r="N286" s="2" t="n"/>
      <c r="O286" s="2" t="n"/>
      <c r="P286" s="2" t="inlineStr">
        <is>
          <t>LISTED</t>
        </is>
      </c>
      <c r="Q286" s="2" t="n"/>
      <c r="R286" s="2" t="n"/>
      <c r="S286" s="2" t="n">
        <v>33.59742533407872</v>
      </c>
      <c r="T286" s="2" t="n">
        <v>-7.664137978971459</v>
      </c>
      <c r="U286" s="3" t="n">
        <v>43147</v>
      </c>
      <c r="V286" s="2" t="inlineStr"/>
      <c r="W286" s="6" t="inlineStr">
        <is>
          <t>https://yakeey.com/fr-ma/achat/biens/172161</t>
        </is>
      </c>
    </row>
    <row r="287">
      <c r="A287" t="inlineStr">
        <is>
          <t>172308</t>
        </is>
      </c>
      <c r="B287" t="inlineStr">
        <is>
          <t>APARTMENT</t>
        </is>
      </c>
      <c r="C287" t="inlineStr">
        <is>
          <t>Val Fleuri</t>
        </is>
      </c>
      <c r="D287" t="inlineStr">
        <is>
          <t>Casablanca</t>
        </is>
      </c>
      <c r="E287" s="7" t="n">
        <v>2300000</v>
      </c>
      <c r="F287" s="8" t="n">
        <v>145</v>
      </c>
      <c r="G287" s="8" t="n"/>
      <c r="H287" s="8" t="n"/>
      <c r="I287" s="9">
        <f>IFERROR(E287/F287,"")</f>
        <v/>
      </c>
      <c r="J287" t="n">
        <v>3</v>
      </c>
      <c r="K287" t="n">
        <v>1</v>
      </c>
      <c r="P287" t="inlineStr">
        <is>
          <t>LISTED</t>
        </is>
      </c>
      <c r="S287" t="n">
        <v>33.57421330231831</v>
      </c>
      <c r="T287" t="n">
        <v>-7.639641606300239</v>
      </c>
      <c r="U287" s="7" t="n">
        <v>13232</v>
      </c>
      <c r="V287" t="inlineStr"/>
      <c r="W287" s="10" t="inlineStr">
        <is>
          <t>https://yakeey.com/fr-ma/achat/biens/172308</t>
        </is>
      </c>
    </row>
    <row r="288">
      <c r="A288" s="2" t="inlineStr">
        <is>
          <t>172477</t>
        </is>
      </c>
      <c r="B288" s="2" t="inlineStr">
        <is>
          <t>APARTMENT</t>
        </is>
      </c>
      <c r="C288" s="2" t="inlineStr">
        <is>
          <t>Californie</t>
        </is>
      </c>
      <c r="D288" s="2" t="inlineStr">
        <is>
          <t>Casablanca</t>
        </is>
      </c>
      <c r="E288" s="3" t="n">
        <v>2700000</v>
      </c>
      <c r="F288" s="4" t="n">
        <v>136</v>
      </c>
      <c r="G288" s="4" t="n"/>
      <c r="H288" s="4" t="n"/>
      <c r="I288" s="5">
        <f>IFERROR(E288/F288,"")</f>
        <v/>
      </c>
      <c r="J288" s="2" t="n">
        <v>3</v>
      </c>
      <c r="K288" s="2" t="n">
        <v>2</v>
      </c>
      <c r="L288" s="2" t="n"/>
      <c r="M288" s="2" t="n"/>
      <c r="N288" s="2" t="n"/>
      <c r="O288" s="2" t="n"/>
      <c r="P288" s="2" t="inlineStr">
        <is>
          <t>LISTED</t>
        </is>
      </c>
      <c r="Q288" s="2" t="n"/>
      <c r="R288" s="2" t="n"/>
      <c r="S288" s="2" t="n">
        <v>33.5438376996696</v>
      </c>
      <c r="T288" s="2" t="n">
        <v>-7.616646934863375</v>
      </c>
      <c r="U288" s="3" t="n">
        <v>15533</v>
      </c>
      <c r="V288" s="2" t="inlineStr"/>
      <c r="W288" s="6" t="inlineStr">
        <is>
          <t>https://yakeey.com/fr-ma/achat/biens/172477</t>
        </is>
      </c>
    </row>
    <row r="289">
      <c r="A289" t="inlineStr">
        <is>
          <t>172515</t>
        </is>
      </c>
      <c r="B289" t="inlineStr">
        <is>
          <t>APARTMENT</t>
        </is>
      </c>
      <c r="C289" t="inlineStr">
        <is>
          <t>Racine</t>
        </is>
      </c>
      <c r="D289" t="inlineStr">
        <is>
          <t>Casablanca</t>
        </is>
      </c>
      <c r="E289" s="7" t="n">
        <v>2052000</v>
      </c>
      <c r="F289" s="8" t="n">
        <v>108</v>
      </c>
      <c r="G289" s="8" t="n"/>
      <c r="H289" s="8" t="n"/>
      <c r="I289" s="9">
        <f>IFERROR(E289/F289,"")</f>
        <v/>
      </c>
      <c r="J289" t="n">
        <v>2</v>
      </c>
      <c r="K289" t="n">
        <v>2</v>
      </c>
      <c r="P289" t="inlineStr">
        <is>
          <t>LISTED</t>
        </is>
      </c>
      <c r="S289" t="n">
        <v>33.59024471602974</v>
      </c>
      <c r="T289" t="n">
        <v>-7.643105913675659</v>
      </c>
      <c r="U289" s="7" t="n">
        <v>11805</v>
      </c>
      <c r="V289" t="inlineStr"/>
      <c r="W289" s="10" t="inlineStr">
        <is>
          <t>https://yakeey.com/fr-ma/achat/biens/172515</t>
        </is>
      </c>
    </row>
    <row r="290">
      <c r="A290" s="2" t="inlineStr">
        <is>
          <t>172541</t>
        </is>
      </c>
      <c r="B290" s="2" t="inlineStr">
        <is>
          <t>APARTMENT</t>
        </is>
      </c>
      <c r="C290" s="2" t="inlineStr">
        <is>
          <t>Oasis</t>
        </is>
      </c>
      <c r="D290" s="2" t="inlineStr">
        <is>
          <t>Casablanca</t>
        </is>
      </c>
      <c r="E290" s="3" t="n">
        <v>3400000</v>
      </c>
      <c r="F290" s="4" t="n">
        <v>163</v>
      </c>
      <c r="G290" s="4" t="n"/>
      <c r="H290" s="4" t="n"/>
      <c r="I290" s="5">
        <f>IFERROR(E290/F290,"")</f>
        <v/>
      </c>
      <c r="J290" s="2" t="n">
        <v>3</v>
      </c>
      <c r="K290" s="2" t="n">
        <v>2</v>
      </c>
      <c r="L290" s="2" t="n"/>
      <c r="M290" s="2" t="n"/>
      <c r="N290" s="2" t="n"/>
      <c r="O290" s="2" t="n"/>
      <c r="P290" s="2" t="inlineStr">
        <is>
          <t>LISTED</t>
        </is>
      </c>
      <c r="Q290" s="2" t="n"/>
      <c r="R290" s="2" t="n"/>
      <c r="S290" s="2" t="n">
        <v>33.54783205447978</v>
      </c>
      <c r="T290" s="2" t="n">
        <v>-7.639805523325651</v>
      </c>
      <c r="U290" s="3" t="n">
        <v>19560</v>
      </c>
      <c r="V290" s="2" t="inlineStr"/>
      <c r="W290" s="6" t="inlineStr">
        <is>
          <t>https://yakeey.com/fr-ma/achat/biens/172541</t>
        </is>
      </c>
    </row>
    <row r="291">
      <c r="A291" t="inlineStr">
        <is>
          <t>172694</t>
        </is>
      </c>
      <c r="B291" t="inlineStr">
        <is>
          <t>APARTMENT</t>
        </is>
      </c>
      <c r="C291" t="inlineStr">
        <is>
          <t>Sidi Bernoussi</t>
        </is>
      </c>
      <c r="D291" t="inlineStr">
        <is>
          <t>Casablanca</t>
        </is>
      </c>
      <c r="E291" s="7" t="n">
        <v>988000</v>
      </c>
      <c r="F291" s="8" t="n">
        <v>99</v>
      </c>
      <c r="G291" s="8" t="n"/>
      <c r="H291" s="8" t="n"/>
      <c r="I291" s="9">
        <f>IFERROR(E291/F291,"")</f>
        <v/>
      </c>
      <c r="J291" t="n">
        <v>2</v>
      </c>
      <c r="K291" t="n">
        <v>2</v>
      </c>
      <c r="P291" t="inlineStr">
        <is>
          <t>LISTED</t>
        </is>
      </c>
      <c r="S291" t="n">
        <v>33.6135477288048</v>
      </c>
      <c r="T291" t="n">
        <v>-7.485124197538874</v>
      </c>
      <c r="U291" s="7" t="n">
        <v>5684</v>
      </c>
      <c r="V291" t="inlineStr"/>
      <c r="W291" s="10" t="inlineStr">
        <is>
          <t>https://yakeey.com/fr-ma/achat/biens/172694</t>
        </is>
      </c>
    </row>
    <row r="292">
      <c r="A292" s="2" t="inlineStr">
        <is>
          <t>172724</t>
        </is>
      </c>
      <c r="B292" s="2" t="inlineStr">
        <is>
          <t>APARTMENT</t>
        </is>
      </c>
      <c r="C292" s="2" t="inlineStr">
        <is>
          <t>Bachkou</t>
        </is>
      </c>
      <c r="D292" s="2" t="inlineStr">
        <is>
          <t>Casablanca</t>
        </is>
      </c>
      <c r="E292" s="3" t="n">
        <v>1700000</v>
      </c>
      <c r="F292" s="4" t="n">
        <v>103</v>
      </c>
      <c r="G292" s="4" t="n"/>
      <c r="H292" s="4" t="n"/>
      <c r="I292" s="5">
        <f>IFERROR(E292/F292,"")</f>
        <v/>
      </c>
      <c r="J292" s="2" t="n">
        <v>2</v>
      </c>
      <c r="K292" s="2" t="n">
        <v>2</v>
      </c>
      <c r="L292" s="2" t="n"/>
      <c r="M292" s="2" t="n"/>
      <c r="N292" s="2" t="n"/>
      <c r="O292" s="2" t="n"/>
      <c r="P292" s="2" t="inlineStr">
        <is>
          <t>LISTED</t>
        </is>
      </c>
      <c r="Q292" s="2" t="n"/>
      <c r="R292" s="2" t="n"/>
      <c r="S292" s="2" t="n">
        <v>33.57073558401908</v>
      </c>
      <c r="T292" s="2" t="n">
        <v>-7.617382638527607</v>
      </c>
      <c r="U292" s="3" t="n">
        <v>9780</v>
      </c>
      <c r="V292" s="2" t="inlineStr"/>
      <c r="W292" s="6" t="inlineStr">
        <is>
          <t>https://yakeey.com/fr-ma/achat/biens/172724</t>
        </is>
      </c>
    </row>
    <row r="293">
      <c r="A293" t="inlineStr">
        <is>
          <t>172801</t>
        </is>
      </c>
      <c r="B293" t="inlineStr">
        <is>
          <t>APARTMENT</t>
        </is>
      </c>
      <c r="C293" t="inlineStr">
        <is>
          <t>La Gironde</t>
        </is>
      </c>
      <c r="D293" t="inlineStr">
        <is>
          <t>Casablanca</t>
        </is>
      </c>
      <c r="E293" s="7" t="n">
        <v>1400000</v>
      </c>
      <c r="F293" s="8" t="n">
        <v>127</v>
      </c>
      <c r="G293" s="8" t="n"/>
      <c r="H293" s="8" t="n"/>
      <c r="I293" s="9">
        <f>IFERROR(E293/F293,"")</f>
        <v/>
      </c>
      <c r="J293" t="n">
        <v>2</v>
      </c>
      <c r="K293" t="n">
        <v>1</v>
      </c>
      <c r="P293" t="inlineStr">
        <is>
          <t>LISTED</t>
        </is>
      </c>
      <c r="S293" t="n">
        <v>33.5867259201145</v>
      </c>
      <c r="T293" t="n">
        <v>-7.604416360047736</v>
      </c>
      <c r="U293" s="7" t="n">
        <v>8054</v>
      </c>
      <c r="V293" t="inlineStr"/>
      <c r="W293" s="10" t="inlineStr">
        <is>
          <t>https://yakeey.com/fr-ma/achat/biens/172801</t>
        </is>
      </c>
    </row>
    <row r="294">
      <c r="A294" s="2" t="inlineStr">
        <is>
          <t>172883</t>
        </is>
      </c>
      <c r="B294" s="2" t="inlineStr">
        <is>
          <t>APARTMENT</t>
        </is>
      </c>
      <c r="C294" s="2" t="inlineStr">
        <is>
          <t>Sindibad</t>
        </is>
      </c>
      <c r="D294" s="2" t="inlineStr">
        <is>
          <t>Casablanca</t>
        </is>
      </c>
      <c r="E294" s="3" t="n">
        <v>5300000</v>
      </c>
      <c r="F294" s="4" t="n">
        <v>226</v>
      </c>
      <c r="G294" s="4" t="n"/>
      <c r="H294" s="4" t="n"/>
      <c r="I294" s="5">
        <f>IFERROR(E294/F294,"")</f>
        <v/>
      </c>
      <c r="J294" s="2" t="n">
        <v>3</v>
      </c>
      <c r="K294" s="2" t="n">
        <v>3</v>
      </c>
      <c r="L294" s="2" t="n"/>
      <c r="M294" s="2" t="n"/>
      <c r="N294" s="2" t="n"/>
      <c r="O294" s="2" t="n"/>
      <c r="P294" s="2" t="inlineStr">
        <is>
          <t>LISTED</t>
        </is>
      </c>
      <c r="Q294" s="2" t="n"/>
      <c r="R294" s="2" t="n"/>
      <c r="S294" s="2" t="n">
        <v>33.58097312022868</v>
      </c>
      <c r="T294" s="2" t="n">
        <v>-7.682401158507533</v>
      </c>
      <c r="U294" s="3" t="n">
        <v>30491</v>
      </c>
      <c r="V294" s="2" t="inlineStr"/>
      <c r="W294" s="6" t="inlineStr">
        <is>
          <t>https://yakeey.com/fr-ma/achat/biens/172883</t>
        </is>
      </c>
    </row>
    <row r="295">
      <c r="A295" t="inlineStr">
        <is>
          <t>173395</t>
        </is>
      </c>
      <c r="B295" t="inlineStr">
        <is>
          <t>APARTMENT</t>
        </is>
      </c>
      <c r="C295" t="inlineStr">
        <is>
          <t>Sidi El Khadir</t>
        </is>
      </c>
      <c r="D295" t="inlineStr">
        <is>
          <t>Casablanca</t>
        </is>
      </c>
      <c r="E295" s="7" t="n">
        <v>1150000</v>
      </c>
      <c r="F295" s="8" t="n">
        <v>130</v>
      </c>
      <c r="G295" s="8" t="n"/>
      <c r="H295" s="8" t="n"/>
      <c r="I295" s="9">
        <f>IFERROR(E295/F295,"")</f>
        <v/>
      </c>
      <c r="J295" t="n">
        <v>2</v>
      </c>
      <c r="K295" t="n">
        <v>2</v>
      </c>
      <c r="P295" t="inlineStr">
        <is>
          <t>LISTED</t>
        </is>
      </c>
      <c r="S295" t="n">
        <v>33.56370987189528</v>
      </c>
      <c r="T295" t="n">
        <v>-7.691163510584991</v>
      </c>
      <c r="U295" s="7" t="n">
        <v>6616</v>
      </c>
      <c r="V295" t="inlineStr"/>
      <c r="W295" s="10" t="inlineStr">
        <is>
          <t>https://yakeey.com/fr-ma/achat/biens/173395</t>
        </is>
      </c>
    </row>
    <row r="296">
      <c r="A296" s="2" t="inlineStr">
        <is>
          <t>173485</t>
        </is>
      </c>
      <c r="B296" s="2" t="inlineStr">
        <is>
          <t>APARTMENT</t>
        </is>
      </c>
      <c r="C296" s="2" t="inlineStr">
        <is>
          <t>Fonciere</t>
        </is>
      </c>
      <c r="D296" s="2" t="inlineStr">
        <is>
          <t>Casablanca</t>
        </is>
      </c>
      <c r="E296" s="3" t="n">
        <v>1700000</v>
      </c>
      <c r="F296" s="4" t="n">
        <v>162</v>
      </c>
      <c r="G296" s="4" t="n"/>
      <c r="H296" s="4" t="n"/>
      <c r="I296" s="5">
        <f>IFERROR(E296/F296,"")</f>
        <v/>
      </c>
      <c r="J296" s="2" t="n">
        <v>3</v>
      </c>
      <c r="K296" s="2" t="n">
        <v>2</v>
      </c>
      <c r="L296" s="2" t="n"/>
      <c r="M296" s="2" t="n"/>
      <c r="N296" s="2" t="n"/>
      <c r="O296" s="2" t="n"/>
      <c r="P296" s="2" t="inlineStr">
        <is>
          <t>LISTED</t>
        </is>
      </c>
      <c r="Q296" s="2" t="n"/>
      <c r="R296" s="2" t="n"/>
      <c r="S296" s="2" t="n">
        <v>33.59487837755301</v>
      </c>
      <c r="T296" s="2" t="n">
        <v>-7.607173260312619</v>
      </c>
      <c r="U296" s="3" t="n">
        <v>9780</v>
      </c>
      <c r="V296" s="2" t="inlineStr"/>
      <c r="W296" s="6" t="inlineStr">
        <is>
          <t>https://yakeey.com/fr-ma/achat/biens/173485</t>
        </is>
      </c>
    </row>
    <row r="297">
      <c r="A297" t="inlineStr">
        <is>
          <t>173527</t>
        </is>
      </c>
      <c r="B297" t="inlineStr">
        <is>
          <t>APARTMENT</t>
        </is>
      </c>
      <c r="C297" t="inlineStr">
        <is>
          <t>Hopitaux</t>
        </is>
      </c>
      <c r="D297" t="inlineStr">
        <is>
          <t>Casablanca</t>
        </is>
      </c>
      <c r="E297" s="7" t="n">
        <v>1900000</v>
      </c>
      <c r="F297" s="8" t="n">
        <v>119</v>
      </c>
      <c r="G297" s="8" t="n"/>
      <c r="H297" s="8" t="n"/>
      <c r="I297" s="9">
        <f>IFERROR(E297/F297,"")</f>
        <v/>
      </c>
      <c r="J297" t="n">
        <v>3</v>
      </c>
      <c r="K297" t="n">
        <v>2</v>
      </c>
      <c r="P297" t="inlineStr">
        <is>
          <t>LISTED</t>
        </is>
      </c>
      <c r="S297" t="n">
        <v>33.5742223649608</v>
      </c>
      <c r="T297" t="n">
        <v>-7.615746794800907</v>
      </c>
      <c r="U297" s="7" t="n">
        <v>10930</v>
      </c>
      <c r="V297" t="inlineStr"/>
      <c r="W297" s="10" t="inlineStr">
        <is>
          <t>https://yakeey.com/fr-ma/achat/biens/173527</t>
        </is>
      </c>
    </row>
    <row r="298">
      <c r="A298" s="2" t="inlineStr">
        <is>
          <t>173568</t>
        </is>
      </c>
      <c r="B298" s="2" t="inlineStr">
        <is>
          <t>APARTMENT</t>
        </is>
      </c>
      <c r="C298" s="2" t="inlineStr">
        <is>
          <t>Lekrimat</t>
        </is>
      </c>
      <c r="D298" s="2" t="inlineStr">
        <is>
          <t>Casablanca</t>
        </is>
      </c>
      <c r="E298" s="3" t="n">
        <v>850000</v>
      </c>
      <c r="F298" s="4" t="n">
        <v>60</v>
      </c>
      <c r="G298" s="4" t="n"/>
      <c r="H298" s="4" t="n"/>
      <c r="I298" s="5">
        <f>IFERROR(E298/F298,"")</f>
        <v/>
      </c>
      <c r="J298" s="2" t="n">
        <v>1</v>
      </c>
      <c r="K298" s="2" t="n">
        <v>1</v>
      </c>
      <c r="L298" s="2" t="n"/>
      <c r="M298" s="2" t="n"/>
      <c r="N298" s="2" t="n"/>
      <c r="O298" s="2" t="n"/>
      <c r="P298" s="2" t="inlineStr">
        <is>
          <t>LISTED</t>
        </is>
      </c>
      <c r="Q298" s="2" t="n"/>
      <c r="R298" s="2" t="n"/>
      <c r="S298" s="2" t="n">
        <v>33.53791393776573</v>
      </c>
      <c r="T298" s="2" t="n">
        <v>-7.612344680753764</v>
      </c>
      <c r="U298" s="3" t="n">
        <v>4890</v>
      </c>
      <c r="V298" s="2" t="inlineStr"/>
      <c r="W298" s="6" t="inlineStr">
        <is>
          <t>https://yakeey.com/fr-ma/achat/biens/173568</t>
        </is>
      </c>
    </row>
    <row r="299">
      <c r="A299" t="inlineStr">
        <is>
          <t>173582</t>
        </is>
      </c>
      <c r="B299" t="inlineStr">
        <is>
          <t>APARTMENT</t>
        </is>
      </c>
      <c r="C299" t="inlineStr">
        <is>
          <t>Racine</t>
        </is>
      </c>
      <c r="D299" t="inlineStr">
        <is>
          <t>Casablanca</t>
        </is>
      </c>
      <c r="E299" s="7" t="n">
        <v>2900000</v>
      </c>
      <c r="F299" s="8" t="n">
        <v>192</v>
      </c>
      <c r="G299" s="8" t="n"/>
      <c r="H299" s="8" t="n"/>
      <c r="I299" s="9">
        <f>IFERROR(E299/F299,"")</f>
        <v/>
      </c>
      <c r="J299" t="n">
        <v>3</v>
      </c>
      <c r="K299" t="n">
        <v>2</v>
      </c>
      <c r="P299" t="inlineStr">
        <is>
          <t>SOLD_OUT</t>
        </is>
      </c>
      <c r="S299" t="n">
        <v>33.58583882504335</v>
      </c>
      <c r="T299" t="n">
        <v>-7.639921172358449</v>
      </c>
      <c r="U299" s="7" t="n">
        <v>16683</v>
      </c>
      <c r="V299" t="inlineStr"/>
      <c r="W299" s="10" t="inlineStr">
        <is>
          <t>https://yakeey.com/fr-ma/achat/biens/173582</t>
        </is>
      </c>
    </row>
    <row r="300">
      <c r="A300" s="2" t="inlineStr">
        <is>
          <t>173641</t>
        </is>
      </c>
      <c r="B300" s="2" t="inlineStr">
        <is>
          <t>APARTMENT</t>
        </is>
      </c>
      <c r="C300" s="2" t="inlineStr">
        <is>
          <t>Belvedere (Roches Noires)</t>
        </is>
      </c>
      <c r="D300" s="2" t="inlineStr">
        <is>
          <t>Casablanca</t>
        </is>
      </c>
      <c r="E300" s="3" t="n">
        <v>1200000</v>
      </c>
      <c r="F300" s="4" t="n">
        <v>145</v>
      </c>
      <c r="G300" s="4" t="n"/>
      <c r="H300" s="4" t="n"/>
      <c r="I300" s="5">
        <f>IFERROR(E300/F300,"")</f>
        <v/>
      </c>
      <c r="J300" s="2" t="n">
        <v>3</v>
      </c>
      <c r="K300" s="2" t="n">
        <v>1</v>
      </c>
      <c r="L300" s="2" t="n"/>
      <c r="M300" s="2" t="n"/>
      <c r="N300" s="2" t="n"/>
      <c r="O300" s="2" t="n"/>
      <c r="P300" s="2" t="inlineStr">
        <is>
          <t>LISTED</t>
        </is>
      </c>
      <c r="Q300" s="2" t="n"/>
      <c r="R300" s="2" t="n"/>
      <c r="S300" s="2" t="n">
        <v>33.59344292896558</v>
      </c>
      <c r="T300" s="2" t="n">
        <v>-7.594259662504586</v>
      </c>
      <c r="U300" s="3" t="n">
        <v>6903</v>
      </c>
      <c r="V300" s="2" t="inlineStr"/>
      <c r="W300" s="6" t="inlineStr">
        <is>
          <t>https://yakeey.com/fr-ma/achat/biens/173641</t>
        </is>
      </c>
    </row>
    <row r="301">
      <c r="A301" t="inlineStr">
        <is>
          <t>173650</t>
        </is>
      </c>
      <c r="B301" t="inlineStr">
        <is>
          <t>APARTMENT</t>
        </is>
      </c>
      <c r="C301" t="inlineStr">
        <is>
          <t>Liberte</t>
        </is>
      </c>
      <c r="D301" t="inlineStr">
        <is>
          <t>Casablanca</t>
        </is>
      </c>
      <c r="E301" s="7" t="n">
        <v>2132000</v>
      </c>
      <c r="F301" s="8" t="n">
        <v>129</v>
      </c>
      <c r="G301" s="8" t="n"/>
      <c r="H301" s="8" t="n"/>
      <c r="I301" s="9">
        <f>IFERROR(E301/F301,"")</f>
        <v/>
      </c>
      <c r="J301" t="n">
        <v>3</v>
      </c>
      <c r="K301" t="n">
        <v>2</v>
      </c>
      <c r="P301" t="inlineStr">
        <is>
          <t>LISTED</t>
        </is>
      </c>
      <c r="S301" t="n">
        <v>33.58447067904631</v>
      </c>
      <c r="T301" t="n">
        <v>-7.613010439885858</v>
      </c>
      <c r="U301" s="7" t="n">
        <v>12265</v>
      </c>
      <c r="V301" t="inlineStr"/>
      <c r="W301" s="10" t="inlineStr">
        <is>
          <t>https://yakeey.com/fr-ma/achat/biens/173650</t>
        </is>
      </c>
    </row>
    <row r="302">
      <c r="A302" s="2" t="inlineStr">
        <is>
          <t>173709</t>
        </is>
      </c>
      <c r="B302" s="2" t="inlineStr">
        <is>
          <t>APARTMENT</t>
        </is>
      </c>
      <c r="C302" s="2" t="inlineStr">
        <is>
          <t>Belvedere (Roches Noires)</t>
        </is>
      </c>
      <c r="D302" s="2" t="inlineStr">
        <is>
          <t>Casablanca</t>
        </is>
      </c>
      <c r="E302" s="3" t="n">
        <v>1950000</v>
      </c>
      <c r="F302" s="4" t="n">
        <v>174</v>
      </c>
      <c r="G302" s="4" t="n"/>
      <c r="H302" s="4" t="n"/>
      <c r="I302" s="5">
        <f>IFERROR(E302/F302,"")</f>
        <v/>
      </c>
      <c r="J302" s="2" t="n">
        <v>3</v>
      </c>
      <c r="K302" s="2" t="n">
        <v>2</v>
      </c>
      <c r="L302" s="2" t="n"/>
      <c r="M302" s="2" t="n"/>
      <c r="N302" s="2" t="n"/>
      <c r="O302" s="2" t="n"/>
      <c r="P302" s="2" t="inlineStr">
        <is>
          <t>LISTED</t>
        </is>
      </c>
      <c r="Q302" s="2" t="n"/>
      <c r="R302" s="2" t="n"/>
      <c r="S302" s="2" t="n">
        <v>33.59268276477754</v>
      </c>
      <c r="T302" s="2" t="n">
        <v>-7.590767611947904</v>
      </c>
      <c r="U302" s="3" t="n">
        <v>11218</v>
      </c>
      <c r="V302" s="2" t="inlineStr"/>
      <c r="W302" s="6" t="inlineStr">
        <is>
          <t>https://yakeey.com/fr-ma/achat/biens/173709</t>
        </is>
      </c>
    </row>
    <row r="303">
      <c r="A303" t="inlineStr">
        <is>
          <t>173717</t>
        </is>
      </c>
      <c r="B303" t="inlineStr">
        <is>
          <t>APARTMENT</t>
        </is>
      </c>
      <c r="C303" t="inlineStr">
        <is>
          <t>Burger</t>
        </is>
      </c>
      <c r="D303" t="inlineStr">
        <is>
          <t>Casablanca</t>
        </is>
      </c>
      <c r="E303" s="7" t="n">
        <v>1850000</v>
      </c>
      <c r="F303" s="8" t="n">
        <v>128</v>
      </c>
      <c r="G303" s="8" t="n"/>
      <c r="H303" s="8" t="n"/>
      <c r="I303" s="9">
        <f>IFERROR(E303/F303,"")</f>
        <v/>
      </c>
      <c r="J303" t="n">
        <v>3</v>
      </c>
      <c r="K303" t="n">
        <v>1</v>
      </c>
      <c r="P303" t="inlineStr">
        <is>
          <t>LISTED</t>
        </is>
      </c>
      <c r="S303" t="n">
        <v>33.57256030167597</v>
      </c>
      <c r="T303" t="n">
        <v>-7.647036703303449</v>
      </c>
      <c r="U303" s="7" t="n">
        <v>10643</v>
      </c>
      <c r="V303" t="inlineStr"/>
      <c r="W303" s="10" t="inlineStr">
        <is>
          <t>https://yakeey.com/fr-ma/achat/biens/173717</t>
        </is>
      </c>
    </row>
    <row r="304">
      <c r="A304" s="2" t="inlineStr">
        <is>
          <t>173786</t>
        </is>
      </c>
      <c r="B304" s="2" t="inlineStr">
        <is>
          <t>APARTMENT</t>
        </is>
      </c>
      <c r="C304" s="2" t="inlineStr">
        <is>
          <t>Quartier Tsf</t>
        </is>
      </c>
      <c r="D304" s="2" t="inlineStr">
        <is>
          <t>Casablanca</t>
        </is>
      </c>
      <c r="E304" s="3" t="n">
        <v>739000</v>
      </c>
      <c r="F304" s="4" t="n">
        <v>38</v>
      </c>
      <c r="G304" s="4" t="n"/>
      <c r="H304" s="4" t="n"/>
      <c r="I304" s="5">
        <f>IFERROR(E304/F304,"")</f>
        <v/>
      </c>
      <c r="J304" s="2" t="n">
        <v>1</v>
      </c>
      <c r="K304" s="2" t="n">
        <v>1</v>
      </c>
      <c r="L304" s="2" t="n"/>
      <c r="M304" s="2" t="n"/>
      <c r="N304" s="2" t="n"/>
      <c r="O304" s="2" t="n"/>
      <c r="P304" s="2" t="inlineStr">
        <is>
          <t>LISTED</t>
        </is>
      </c>
      <c r="Q304" s="2" t="n"/>
      <c r="R304" s="2" t="n"/>
      <c r="S304" s="2" t="n">
        <v>33.60472983654863</v>
      </c>
      <c r="T304" s="2" t="n">
        <v>-7.635194438086866</v>
      </c>
      <c r="U304" s="3" t="n">
        <v>4251</v>
      </c>
      <c r="V304" s="2" t="inlineStr"/>
      <c r="W304" s="6" t="inlineStr">
        <is>
          <t>https://yakeey.com/fr-ma/achat/biens/173786</t>
        </is>
      </c>
    </row>
    <row r="305">
      <c r="A305" t="inlineStr">
        <is>
          <t>173793</t>
        </is>
      </c>
      <c r="B305" t="inlineStr">
        <is>
          <t>APARTMENT</t>
        </is>
      </c>
      <c r="C305" t="inlineStr">
        <is>
          <t>Gauthier</t>
        </is>
      </c>
      <c r="D305" t="inlineStr">
        <is>
          <t>Casablanca</t>
        </is>
      </c>
      <c r="E305" s="7" t="n">
        <v>3600000</v>
      </c>
      <c r="F305" s="8" t="n">
        <v>177</v>
      </c>
      <c r="G305" s="8" t="n"/>
      <c r="H305" s="8" t="n"/>
      <c r="I305" s="9">
        <f>IFERROR(E305/F305,"")</f>
        <v/>
      </c>
      <c r="J305" t="n">
        <v>3</v>
      </c>
      <c r="K305" t="n">
        <v>2</v>
      </c>
      <c r="P305" t="inlineStr">
        <is>
          <t>LISTED</t>
        </is>
      </c>
      <c r="S305" t="n">
        <v>33.59181647587049</v>
      </c>
      <c r="T305" t="n">
        <v>-7.630271808103362</v>
      </c>
      <c r="U305" s="7" t="n">
        <v>20711</v>
      </c>
      <c r="V305" t="inlineStr"/>
      <c r="W305" s="10" t="inlineStr">
        <is>
          <t>https://yakeey.com/fr-ma/achat/biens/173793</t>
        </is>
      </c>
    </row>
    <row r="306">
      <c r="A306" s="2" t="inlineStr">
        <is>
          <t>173881</t>
        </is>
      </c>
      <c r="B306" s="2" t="inlineStr">
        <is>
          <t>APARTMENT</t>
        </is>
      </c>
      <c r="C306" s="2" t="inlineStr">
        <is>
          <t>Ferme Bretonne</t>
        </is>
      </c>
      <c r="D306" s="2" t="inlineStr">
        <is>
          <t>Casablanca</t>
        </is>
      </c>
      <c r="E306" s="3" t="n">
        <v>2100000</v>
      </c>
      <c r="F306" s="4" t="n">
        <v>127</v>
      </c>
      <c r="G306" s="4" t="n"/>
      <c r="H306" s="4" t="n"/>
      <c r="I306" s="5">
        <f>IFERROR(E306/F306,"")</f>
        <v/>
      </c>
      <c r="J306" s="2" t="n">
        <v>2</v>
      </c>
      <c r="K306" s="2" t="n">
        <v>2</v>
      </c>
      <c r="L306" s="2" t="n"/>
      <c r="M306" s="2" t="n"/>
      <c r="N306" s="2" t="n"/>
      <c r="O306" s="2" t="n"/>
      <c r="P306" s="2" t="inlineStr">
        <is>
          <t>LISTED</t>
        </is>
      </c>
      <c r="Q306" s="2" t="n"/>
      <c r="R306" s="2" t="n"/>
      <c r="S306" s="2" t="n">
        <v>33.56302215721578</v>
      </c>
      <c r="T306" s="2" t="n">
        <v>-7.646246453061395</v>
      </c>
      <c r="U306" s="3" t="n">
        <v>12081</v>
      </c>
      <c r="V306" s="2" t="inlineStr"/>
      <c r="W306" s="6" t="inlineStr">
        <is>
          <t>https://yakeey.com/fr-ma/achat/biens/173881</t>
        </is>
      </c>
    </row>
    <row r="307">
      <c r="A307" t="inlineStr">
        <is>
          <t>174461</t>
        </is>
      </c>
      <c r="B307" t="inlineStr">
        <is>
          <t>APARTMENT</t>
        </is>
      </c>
      <c r="C307" t="inlineStr">
        <is>
          <t>Palmier (Maarif)</t>
        </is>
      </c>
      <c r="D307" t="inlineStr">
        <is>
          <t>Casablanca</t>
        </is>
      </c>
      <c r="E307" s="7" t="n">
        <v>2300000</v>
      </c>
      <c r="F307" s="8" t="n">
        <v>141</v>
      </c>
      <c r="G307" s="8" t="n"/>
      <c r="H307" s="8" t="n"/>
      <c r="I307" s="9">
        <f>IFERROR(E307/F307,"")</f>
        <v/>
      </c>
      <c r="J307" t="n">
        <v>3</v>
      </c>
      <c r="K307" t="n">
        <v>2</v>
      </c>
      <c r="P307" t="inlineStr">
        <is>
          <t>LISTED</t>
        </is>
      </c>
      <c r="S307" t="n">
        <v>33.58369784156536</v>
      </c>
      <c r="T307" t="n">
        <v>-7.62890732794768</v>
      </c>
      <c r="U307" s="7" t="n">
        <v>13232</v>
      </c>
      <c r="V307" t="inlineStr"/>
      <c r="W307" s="10" t="inlineStr">
        <is>
          <t>https://yakeey.com/fr-ma/achat/biens/174461</t>
        </is>
      </c>
    </row>
    <row r="308">
      <c r="A308" s="2" t="inlineStr">
        <is>
          <t>174545</t>
        </is>
      </c>
      <c r="B308" s="2" t="inlineStr">
        <is>
          <t>APARTMENT</t>
        </is>
      </c>
      <c r="C308" s="2" t="inlineStr">
        <is>
          <t>Hopitaux</t>
        </is>
      </c>
      <c r="D308" s="2" t="inlineStr">
        <is>
          <t>Casablanca</t>
        </is>
      </c>
      <c r="E308" s="3" t="n">
        <v>1850000</v>
      </c>
      <c r="F308" s="4" t="n">
        <v>119</v>
      </c>
      <c r="G308" s="4" t="n"/>
      <c r="H308" s="4" t="n"/>
      <c r="I308" s="5">
        <f>IFERROR(E308/F308,"")</f>
        <v/>
      </c>
      <c r="J308" s="2" t="n">
        <v>3</v>
      </c>
      <c r="K308" s="2" t="n">
        <v>2</v>
      </c>
      <c r="L308" s="2" t="n"/>
      <c r="M308" s="2" t="n"/>
      <c r="N308" s="2" t="n"/>
      <c r="O308" s="2" t="n"/>
      <c r="P308" s="2" t="inlineStr">
        <is>
          <t>LISTED</t>
        </is>
      </c>
      <c r="Q308" s="2" t="n"/>
      <c r="R308" s="2" t="n"/>
      <c r="S308" s="2" t="n">
        <v>33.57524863059835</v>
      </c>
      <c r="T308" s="2" t="n">
        <v>-7.616366167504586</v>
      </c>
      <c r="U308" s="3" t="n">
        <v>10643</v>
      </c>
      <c r="V308" s="2" t="inlineStr"/>
      <c r="W308" s="6" t="inlineStr">
        <is>
          <t>https://yakeey.com/fr-ma/achat/biens/174545</t>
        </is>
      </c>
    </row>
    <row r="309">
      <c r="A309" t="inlineStr">
        <is>
          <t>174557</t>
        </is>
      </c>
      <c r="B309" t="inlineStr">
        <is>
          <t>APARTMENT</t>
        </is>
      </c>
      <c r="C309" t="inlineStr">
        <is>
          <t>Habbous</t>
        </is>
      </c>
      <c r="D309" t="inlineStr">
        <is>
          <t>Casablanca</t>
        </is>
      </c>
      <c r="E309" s="7" t="n">
        <v>1300000</v>
      </c>
      <c r="F309" s="8" t="n">
        <v>122</v>
      </c>
      <c r="G309" s="8" t="n"/>
      <c r="H309" s="8" t="n"/>
      <c r="I309" s="9">
        <f>IFERROR(E309/F309,"")</f>
        <v/>
      </c>
      <c r="J309" t="n">
        <v>3</v>
      </c>
      <c r="K309" t="n">
        <v>1</v>
      </c>
      <c r="P309" t="inlineStr">
        <is>
          <t>LISTED</t>
        </is>
      </c>
      <c r="S309" t="n">
        <v>33.58076209827668</v>
      </c>
      <c r="T309" t="n">
        <v>-7.608226806897685</v>
      </c>
      <c r="U309" s="7" t="n">
        <v>7478</v>
      </c>
      <c r="V309" t="inlineStr"/>
      <c r="W309" s="10" t="inlineStr">
        <is>
          <t>https://yakeey.com/fr-ma/achat/biens/174557</t>
        </is>
      </c>
    </row>
    <row r="310">
      <c r="A310" s="2" t="inlineStr">
        <is>
          <t>174789</t>
        </is>
      </c>
      <c r="B310" s="2" t="inlineStr">
        <is>
          <t>APARTMENT</t>
        </is>
      </c>
      <c r="C310" s="2" t="inlineStr">
        <is>
          <t>Hopitaux</t>
        </is>
      </c>
      <c r="D310" s="2" t="inlineStr">
        <is>
          <t>Casablanca</t>
        </is>
      </c>
      <c r="E310" s="3" t="n">
        <v>1850000</v>
      </c>
      <c r="F310" s="4" t="n">
        <v>144</v>
      </c>
      <c r="G310" s="4" t="n"/>
      <c r="H310" s="4" t="n"/>
      <c r="I310" s="5">
        <f>IFERROR(E310/F310,"")</f>
        <v/>
      </c>
      <c r="J310" s="2" t="n">
        <v>3</v>
      </c>
      <c r="K310" s="2" t="n">
        <v>2</v>
      </c>
      <c r="L310" s="2" t="n"/>
      <c r="M310" s="2" t="n"/>
      <c r="N310" s="2" t="n"/>
      <c r="O310" s="2" t="n"/>
      <c r="P310" s="2" t="inlineStr">
        <is>
          <t>LISTED</t>
        </is>
      </c>
      <c r="Q310" s="2" t="n"/>
      <c r="R310" s="2" t="n"/>
      <c r="S310" s="2" t="n">
        <v>33.57308157942913</v>
      </c>
      <c r="T310" s="2" t="n">
        <v>-7.617442623304907</v>
      </c>
      <c r="U310" s="3" t="n">
        <v>10643</v>
      </c>
      <c r="V310" s="2" t="inlineStr"/>
      <c r="W310" s="6" t="inlineStr">
        <is>
          <t>https://yakeey.com/fr-ma/achat/biens/174789</t>
        </is>
      </c>
    </row>
    <row r="311">
      <c r="A311" t="inlineStr">
        <is>
          <t>174879</t>
        </is>
      </c>
      <c r="B311" t="inlineStr">
        <is>
          <t>APARTMENT</t>
        </is>
      </c>
      <c r="C311" t="inlineStr">
        <is>
          <t>La Gironde</t>
        </is>
      </c>
      <c r="D311" t="inlineStr">
        <is>
          <t>Casablanca</t>
        </is>
      </c>
      <c r="E311" s="7" t="n">
        <v>1150000</v>
      </c>
      <c r="F311" s="8" t="n">
        <v>89</v>
      </c>
      <c r="G311" s="8" t="n"/>
      <c r="H311" s="8" t="n"/>
      <c r="I311" s="9">
        <f>IFERROR(E311/F311,"")</f>
        <v/>
      </c>
      <c r="J311" t="n">
        <v>3</v>
      </c>
      <c r="K311" t="n">
        <v>2</v>
      </c>
      <c r="P311" t="inlineStr">
        <is>
          <t>LISTED</t>
        </is>
      </c>
      <c r="S311" t="n">
        <v>33.57986225164654</v>
      </c>
      <c r="T311" t="n">
        <v>-7.595343464350898</v>
      </c>
      <c r="U311" s="7" t="n">
        <v>6616</v>
      </c>
      <c r="V311" t="inlineStr"/>
      <c r="W311" s="10" t="inlineStr">
        <is>
          <t>https://yakeey.com/fr-ma/achat/biens/174879</t>
        </is>
      </c>
    </row>
    <row r="312">
      <c r="A312" s="2" t="inlineStr">
        <is>
          <t>174921</t>
        </is>
      </c>
      <c r="B312" s="2" t="inlineStr">
        <is>
          <t>APARTMENT</t>
        </is>
      </c>
      <c r="C312" s="2" t="inlineStr">
        <is>
          <t>Belvedere (Roches Noires)</t>
        </is>
      </c>
      <c r="D312" s="2" t="inlineStr">
        <is>
          <t>Casablanca</t>
        </is>
      </c>
      <c r="E312" s="3" t="n">
        <v>800000</v>
      </c>
      <c r="F312" s="4" t="n">
        <v>65</v>
      </c>
      <c r="G312" s="4" t="n"/>
      <c r="H312" s="4" t="n"/>
      <c r="I312" s="5">
        <f>IFERROR(E312/F312,"")</f>
        <v/>
      </c>
      <c r="J312" s="2" t="n">
        <v>2</v>
      </c>
      <c r="K312" s="2" t="n">
        <v>1</v>
      </c>
      <c r="L312" s="2" t="n"/>
      <c r="M312" s="2" t="n"/>
      <c r="N312" s="2" t="n"/>
      <c r="O312" s="2" t="n"/>
      <c r="P312" s="2" t="inlineStr">
        <is>
          <t>LISTED</t>
        </is>
      </c>
      <c r="Q312" s="2" t="n"/>
      <c r="R312" s="2" t="n"/>
      <c r="S312" s="2" t="n">
        <v>33.59584003818113</v>
      </c>
      <c r="T312" s="2" t="n">
        <v>-7.590187931094762</v>
      </c>
      <c r="U312" s="3" t="n">
        <v>4602</v>
      </c>
      <c r="V312" s="2" t="inlineStr"/>
      <c r="W312" s="6" t="inlineStr">
        <is>
          <t>https://yakeey.com/fr-ma/achat/biens/174921</t>
        </is>
      </c>
    </row>
    <row r="313">
      <c r="A313" t="inlineStr">
        <is>
          <t>174941</t>
        </is>
      </c>
      <c r="B313" t="inlineStr">
        <is>
          <t>APARTMENT</t>
        </is>
      </c>
      <c r="C313" t="inlineStr">
        <is>
          <t>Bourgogne (Anfa)</t>
        </is>
      </c>
      <c r="D313" t="inlineStr">
        <is>
          <t>Casablanca</t>
        </is>
      </c>
      <c r="E313" s="7" t="n">
        <v>2975000</v>
      </c>
      <c r="F313" s="8" t="n">
        <v>129</v>
      </c>
      <c r="G313" s="8" t="n"/>
      <c r="H313" s="8" t="n"/>
      <c r="I313" s="9">
        <f>IFERROR(E313/F313,"")</f>
        <v/>
      </c>
      <c r="J313" t="n">
        <v>3</v>
      </c>
      <c r="K313" t="n">
        <v>2</v>
      </c>
      <c r="P313" t="inlineStr">
        <is>
          <t>LISTED</t>
        </is>
      </c>
      <c r="S313" t="n">
        <v>33.59609332162234</v>
      </c>
      <c r="T313" t="n">
        <v>-7.634579952402157</v>
      </c>
      <c r="U313" s="7" t="n">
        <v>17115</v>
      </c>
      <c r="V313" t="inlineStr"/>
      <c r="W313" s="10" t="inlineStr">
        <is>
          <t>https://yakeey.com/fr-ma/achat/biens/174941</t>
        </is>
      </c>
    </row>
    <row r="314">
      <c r="A314" s="2" t="inlineStr">
        <is>
          <t>174997</t>
        </is>
      </c>
      <c r="B314" s="2" t="inlineStr">
        <is>
          <t>APARTMENT</t>
        </is>
      </c>
      <c r="C314" s="2" t="inlineStr">
        <is>
          <t>Hopitaux</t>
        </is>
      </c>
      <c r="D314" s="2" t="inlineStr">
        <is>
          <t>Casablanca</t>
        </is>
      </c>
      <c r="E314" s="3" t="n">
        <v>1624000</v>
      </c>
      <c r="F314" s="4" t="n">
        <v>122</v>
      </c>
      <c r="G314" s="4" t="n"/>
      <c r="H314" s="4" t="n"/>
      <c r="I314" s="5">
        <f>IFERROR(E314/F314,"")</f>
        <v/>
      </c>
      <c r="J314" s="2" t="n">
        <v>2</v>
      </c>
      <c r="K314" s="2" t="n">
        <v>2</v>
      </c>
      <c r="L314" s="2" t="n"/>
      <c r="M314" s="2" t="n"/>
      <c r="N314" s="2" t="n"/>
      <c r="O314" s="2" t="n"/>
      <c r="P314" s="2" t="inlineStr">
        <is>
          <t>LISTED</t>
        </is>
      </c>
      <c r="Q314" s="2" t="n"/>
      <c r="R314" s="2" t="n"/>
      <c r="S314" s="2" t="n">
        <v>33.58274168553356</v>
      </c>
      <c r="T314" s="2" t="n">
        <v>-7.615490970363027</v>
      </c>
      <c r="U314" s="3" t="n">
        <v>9342</v>
      </c>
      <c r="V314" s="2" t="inlineStr"/>
      <c r="W314" s="6" t="inlineStr">
        <is>
          <t>https://yakeey.com/fr-ma/achat/biens/174997</t>
        </is>
      </c>
    </row>
    <row r="315">
      <c r="A315" t="inlineStr">
        <is>
          <t>175188</t>
        </is>
      </c>
      <c r="B315" t="inlineStr">
        <is>
          <t>APARTMENT</t>
        </is>
      </c>
      <c r="C315" t="inlineStr">
        <is>
          <t>Lissasfa</t>
        </is>
      </c>
      <c r="D315" t="inlineStr">
        <is>
          <t>Casablanca</t>
        </is>
      </c>
      <c r="E315" s="7" t="n">
        <v>1000000</v>
      </c>
      <c r="F315" s="8" t="n">
        <v>90</v>
      </c>
      <c r="G315" s="8" t="n"/>
      <c r="H315" s="8" t="n"/>
      <c r="I315" s="9">
        <f>IFERROR(E315/F315,"")</f>
        <v/>
      </c>
      <c r="J315" t="n">
        <v>3</v>
      </c>
      <c r="K315" t="n">
        <v>2</v>
      </c>
      <c r="P315" t="inlineStr">
        <is>
          <t>LISTED</t>
        </is>
      </c>
      <c r="S315" t="n">
        <v>33.53407171269367</v>
      </c>
      <c r="T315" t="n">
        <v>-7.681457475849605</v>
      </c>
      <c r="U315" s="7" t="n">
        <v>5753</v>
      </c>
      <c r="V315" t="inlineStr"/>
      <c r="W315" s="10" t="inlineStr">
        <is>
          <t>https://yakeey.com/fr-ma/achat/biens/175188</t>
        </is>
      </c>
    </row>
    <row r="316">
      <c r="A316" s="2" t="inlineStr">
        <is>
          <t>175270</t>
        </is>
      </c>
      <c r="B316" s="2" t="inlineStr">
        <is>
          <t>APARTMENT</t>
        </is>
      </c>
      <c r="C316" s="2" t="inlineStr">
        <is>
          <t>Les Princesses</t>
        </is>
      </c>
      <c r="D316" s="2" t="inlineStr">
        <is>
          <t>Casablanca</t>
        </is>
      </c>
      <c r="E316" s="3" t="n">
        <v>1900000</v>
      </c>
      <c r="F316" s="4" t="n">
        <v>123</v>
      </c>
      <c r="G316" s="4" t="n"/>
      <c r="H316" s="4" t="n"/>
      <c r="I316" s="5">
        <f>IFERROR(E316/F316,"")</f>
        <v/>
      </c>
      <c r="J316" s="2" t="n">
        <v>3</v>
      </c>
      <c r="K316" s="2" t="n">
        <v>2</v>
      </c>
      <c r="L316" s="2" t="n"/>
      <c r="M316" s="2" t="n"/>
      <c r="N316" s="2" t="n"/>
      <c r="O316" s="2" t="n"/>
      <c r="P316" s="2" t="inlineStr">
        <is>
          <t>LISTED</t>
        </is>
      </c>
      <c r="Q316" s="2" t="n"/>
      <c r="R316" s="2" t="n"/>
      <c r="S316" s="2" t="n">
        <v>33.58272881348594</v>
      </c>
      <c r="T316" s="2" t="n">
        <v>-7.64280008840968</v>
      </c>
      <c r="U316" s="3" t="n">
        <v>10930</v>
      </c>
      <c r="V316" s="2" t="inlineStr"/>
      <c r="W316" s="6" t="inlineStr">
        <is>
          <t>https://yakeey.com/fr-ma/achat/biens/175270</t>
        </is>
      </c>
    </row>
    <row r="317">
      <c r="A317" t="inlineStr">
        <is>
          <t>175318</t>
        </is>
      </c>
      <c r="B317" t="inlineStr">
        <is>
          <t>APARTMENT</t>
        </is>
      </c>
      <c r="C317" t="inlineStr">
        <is>
          <t>Hopitaux</t>
        </is>
      </c>
      <c r="D317" t="inlineStr">
        <is>
          <t>Casablanca</t>
        </is>
      </c>
      <c r="E317" s="7" t="n">
        <v>1763555</v>
      </c>
      <c r="F317" s="8" t="n">
        <v>161</v>
      </c>
      <c r="G317" s="8" t="n"/>
      <c r="H317" s="8" t="n"/>
      <c r="I317" s="9">
        <f>IFERROR(E317/F317,"")</f>
        <v/>
      </c>
      <c r="J317" t="n">
        <v>3</v>
      </c>
      <c r="K317" t="n">
        <v>1</v>
      </c>
      <c r="P317" t="inlineStr">
        <is>
          <t>LISTED</t>
        </is>
      </c>
      <c r="S317" t="n">
        <v>33.57177747595492</v>
      </c>
      <c r="T317" t="n">
        <v>-7.619044687890069</v>
      </c>
      <c r="U317" s="7" t="n">
        <v>10145</v>
      </c>
      <c r="V317" t="inlineStr"/>
      <c r="W317" s="10" t="inlineStr">
        <is>
          <t>https://yakeey.com/fr-ma/achat/biens/175318</t>
        </is>
      </c>
    </row>
    <row r="318">
      <c r="A318" s="2" t="inlineStr">
        <is>
          <t>175338</t>
        </is>
      </c>
      <c r="B318" s="2" t="inlineStr">
        <is>
          <t>APARTMENT</t>
        </is>
      </c>
      <c r="C318" s="2" t="inlineStr">
        <is>
          <t>Val Fleuri</t>
        </is>
      </c>
      <c r="D318" s="2" t="inlineStr">
        <is>
          <t>Casablanca</t>
        </is>
      </c>
      <c r="E318" s="3" t="n">
        <v>1200000</v>
      </c>
      <c r="F318" s="4" t="n">
        <v>84</v>
      </c>
      <c r="G318" s="4" t="n"/>
      <c r="H318" s="4" t="n"/>
      <c r="I318" s="5">
        <f>IFERROR(E318/F318,"")</f>
        <v/>
      </c>
      <c r="J318" s="2" t="n">
        <v>2</v>
      </c>
      <c r="K318" s="2" t="n">
        <v>2</v>
      </c>
      <c r="L318" s="2" t="n"/>
      <c r="M318" s="2" t="n"/>
      <c r="N318" s="2" t="n"/>
      <c r="O318" s="2" t="n"/>
      <c r="P318" s="2" t="inlineStr">
        <is>
          <t>LISTED</t>
        </is>
      </c>
      <c r="Q318" s="2" t="n"/>
      <c r="R318" s="2" t="n"/>
      <c r="S318" s="2" t="n">
        <v>33.57432428770819</v>
      </c>
      <c r="T318" s="2" t="n">
        <v>-7.638868437522726</v>
      </c>
      <c r="U318" s="3" t="n">
        <v>6903</v>
      </c>
      <c r="V318" s="2" t="inlineStr"/>
      <c r="W318" s="6" t="inlineStr">
        <is>
          <t>https://yakeey.com/fr-ma/achat/biens/175338</t>
        </is>
      </c>
    </row>
    <row r="319">
      <c r="A319" t="inlineStr">
        <is>
          <t>175339</t>
        </is>
      </c>
      <c r="B319" t="inlineStr">
        <is>
          <t>APARTMENT</t>
        </is>
      </c>
      <c r="C319" t="inlineStr">
        <is>
          <t>Ferme Bretonne</t>
        </is>
      </c>
      <c r="D319" t="inlineStr">
        <is>
          <t>Casablanca</t>
        </is>
      </c>
      <c r="E319" s="7" t="n">
        <v>1470000</v>
      </c>
      <c r="F319" s="8" t="n">
        <v>77</v>
      </c>
      <c r="G319" s="8" t="n"/>
      <c r="H319" s="8" t="n"/>
      <c r="I319" s="9">
        <f>IFERROR(E319/F319,"")</f>
        <v/>
      </c>
      <c r="J319" t="n">
        <v>2</v>
      </c>
      <c r="K319" t="n">
        <v>1</v>
      </c>
      <c r="P319" t="inlineStr">
        <is>
          <t>LISTED</t>
        </is>
      </c>
      <c r="S319" t="n">
        <v>33.56115510025287</v>
      </c>
      <c r="T319" t="n">
        <v>-7.646273004905538</v>
      </c>
      <c r="U319" s="7" t="n">
        <v>8456</v>
      </c>
      <c r="V319" t="inlineStr"/>
      <c r="W319" s="10" t="inlineStr">
        <is>
          <t>https://yakeey.com/fr-ma/achat/biens/175339</t>
        </is>
      </c>
    </row>
    <row r="320">
      <c r="A320" s="2" t="inlineStr">
        <is>
          <t>175686</t>
        </is>
      </c>
      <c r="B320" s="2" t="inlineStr">
        <is>
          <t>APARTMENT</t>
        </is>
      </c>
      <c r="C320" s="2" t="inlineStr">
        <is>
          <t>Ain Sebaa</t>
        </is>
      </c>
      <c r="D320" s="2" t="inlineStr">
        <is>
          <t>Casablanca</t>
        </is>
      </c>
      <c r="E320" s="3" t="n">
        <v>850000</v>
      </c>
      <c r="F320" s="4" t="n">
        <v>78</v>
      </c>
      <c r="G320" s="4" t="n"/>
      <c r="H320" s="4" t="n"/>
      <c r="I320" s="5">
        <f>IFERROR(E320/F320,"")</f>
        <v/>
      </c>
      <c r="J320" s="2" t="n">
        <v>2</v>
      </c>
      <c r="K320" s="2" t="n">
        <v>2</v>
      </c>
      <c r="L320" s="2" t="n"/>
      <c r="M320" s="2" t="n"/>
      <c r="N320" s="2" t="n"/>
      <c r="O320" s="2" t="n"/>
      <c r="P320" s="2" t="inlineStr">
        <is>
          <t>LISTED</t>
        </is>
      </c>
      <c r="Q320" s="2" t="n"/>
      <c r="R320" s="2" t="n"/>
      <c r="S320" s="2" t="n">
        <v>33.59990917208292</v>
      </c>
      <c r="T320" s="2" t="n">
        <v>-7.512139622201419</v>
      </c>
      <c r="U320" s="3" t="n">
        <v>4890</v>
      </c>
      <c r="V320" s="2" t="inlineStr"/>
      <c r="W320" s="6" t="inlineStr">
        <is>
          <t>https://yakeey.com/fr-ma/achat/biens/175686</t>
        </is>
      </c>
    </row>
    <row r="321">
      <c r="A321" t="inlineStr">
        <is>
          <t>175756</t>
        </is>
      </c>
      <c r="B321" t="inlineStr">
        <is>
          <t>APARTMENT</t>
        </is>
      </c>
      <c r="C321" t="inlineStr">
        <is>
          <t>Mers Sultan</t>
        </is>
      </c>
      <c r="D321" t="inlineStr">
        <is>
          <t>Casablanca</t>
        </is>
      </c>
      <c r="E321" s="7" t="n">
        <v>1650000</v>
      </c>
      <c r="F321" s="8" t="n">
        <v>89</v>
      </c>
      <c r="G321" s="8" t="n"/>
      <c r="H321" s="8" t="n"/>
      <c r="I321" s="9">
        <f>IFERROR(E321/F321,"")</f>
        <v/>
      </c>
      <c r="J321" t="n">
        <v>3</v>
      </c>
      <c r="K321" t="n">
        <v>2</v>
      </c>
      <c r="P321" t="inlineStr">
        <is>
          <t>LISTED</t>
        </is>
      </c>
      <c r="S321" t="n">
        <v>33.57458716146846</v>
      </c>
      <c r="T321" t="n">
        <v>-7.612057744733475</v>
      </c>
      <c r="U321" s="7" t="n">
        <v>9492</v>
      </c>
      <c r="V321" t="inlineStr"/>
      <c r="W321" s="10" t="inlineStr">
        <is>
          <t>https://yakeey.com/fr-ma/achat/biens/175756</t>
        </is>
      </c>
    </row>
    <row r="322">
      <c r="A322" s="2" t="inlineStr">
        <is>
          <t>175793</t>
        </is>
      </c>
      <c r="B322" s="2" t="inlineStr">
        <is>
          <t>APARTMENT</t>
        </is>
      </c>
      <c r="C322" s="2" t="inlineStr">
        <is>
          <t>Les Princesses</t>
        </is>
      </c>
      <c r="D322" s="2" t="inlineStr">
        <is>
          <t>Casablanca</t>
        </is>
      </c>
      <c r="E322" s="3" t="n">
        <v>1200000</v>
      </c>
      <c r="F322" s="4" t="n">
        <v>92</v>
      </c>
      <c r="G322" s="4" t="n"/>
      <c r="H322" s="4" t="n"/>
      <c r="I322" s="5">
        <f>IFERROR(E322/F322,"")</f>
        <v/>
      </c>
      <c r="J322" s="2" t="n">
        <v>2</v>
      </c>
      <c r="K322" s="2" t="n">
        <v>1</v>
      </c>
      <c r="L322" s="2" t="n"/>
      <c r="M322" s="2" t="n"/>
      <c r="N322" s="2" t="n"/>
      <c r="O322" s="2" t="n"/>
      <c r="P322" s="2" t="inlineStr">
        <is>
          <t>LISTED</t>
        </is>
      </c>
      <c r="Q322" s="2" t="n"/>
      <c r="R322" s="2" t="n"/>
      <c r="S322" s="2" t="n">
        <v>33.57379101688419</v>
      </c>
      <c r="T322" s="2" t="n">
        <v>-7.643626665530888</v>
      </c>
      <c r="U322" s="3" t="n">
        <v>6903</v>
      </c>
      <c r="V322" s="2" t="inlineStr"/>
      <c r="W322" s="6" t="inlineStr">
        <is>
          <t>https://yakeey.com/fr-ma/achat/biens/175793</t>
        </is>
      </c>
    </row>
    <row r="323">
      <c r="A323" t="inlineStr">
        <is>
          <t>175826</t>
        </is>
      </c>
      <c r="B323" t="inlineStr">
        <is>
          <t>APARTMENT</t>
        </is>
      </c>
      <c r="C323" t="inlineStr">
        <is>
          <t>Almaz (Hay Hassani)</t>
        </is>
      </c>
      <c r="D323" t="inlineStr">
        <is>
          <t>Casablanca</t>
        </is>
      </c>
      <c r="E323" s="7" t="n">
        <v>1200000</v>
      </c>
      <c r="F323" s="8" t="n">
        <v>84</v>
      </c>
      <c r="G323" s="8" t="n"/>
      <c r="H323" s="8" t="n"/>
      <c r="I323" s="9">
        <f>IFERROR(E323/F323,"")</f>
        <v/>
      </c>
      <c r="J323" t="n">
        <v>2</v>
      </c>
      <c r="K323" t="n">
        <v>2</v>
      </c>
      <c r="P323" t="inlineStr">
        <is>
          <t>LISTED</t>
        </is>
      </c>
      <c r="S323" t="n">
        <v>33.50987590943154</v>
      </c>
      <c r="T323" t="n">
        <v>-7.674735599499341</v>
      </c>
      <c r="U323" s="7" t="n">
        <v>6903</v>
      </c>
      <c r="V323" t="inlineStr"/>
      <c r="W323" s="10" t="inlineStr">
        <is>
          <t>https://yakeey.com/fr-ma/achat/biens/175826</t>
        </is>
      </c>
    </row>
    <row r="324">
      <c r="A324" s="2" t="inlineStr">
        <is>
          <t>175918</t>
        </is>
      </c>
      <c r="B324" s="2" t="inlineStr">
        <is>
          <t>APARTMENT</t>
        </is>
      </c>
      <c r="C324" s="2" t="inlineStr">
        <is>
          <t>Les Princesses</t>
        </is>
      </c>
      <c r="D324" s="2" t="inlineStr">
        <is>
          <t>Casablanca</t>
        </is>
      </c>
      <c r="E324" s="3" t="n">
        <v>1950000</v>
      </c>
      <c r="F324" s="4" t="n">
        <v>91</v>
      </c>
      <c r="G324" s="4" t="n"/>
      <c r="H324" s="4" t="n"/>
      <c r="I324" s="5">
        <f>IFERROR(E324/F324,"")</f>
        <v/>
      </c>
      <c r="J324" s="2" t="n">
        <v>2</v>
      </c>
      <c r="K324" s="2" t="n">
        <v>2</v>
      </c>
      <c r="L324" s="2" t="n"/>
      <c r="M324" s="2" t="n"/>
      <c r="N324" s="2" t="n"/>
      <c r="O324" s="2" t="n"/>
      <c r="P324" s="2" t="inlineStr">
        <is>
          <t>LISTED</t>
        </is>
      </c>
      <c r="Q324" s="2" t="n"/>
      <c r="R324" s="2" t="n"/>
      <c r="S324" s="2" t="n">
        <v>33.57952717157811</v>
      </c>
      <c r="T324" s="2" t="n">
        <v>-7.647116092770171</v>
      </c>
      <c r="U324" s="3" t="n">
        <v>11218</v>
      </c>
      <c r="V324" s="2" t="inlineStr"/>
      <c r="W324" s="6" t="inlineStr">
        <is>
          <t>https://yakeey.com/fr-ma/achat/biens/175918</t>
        </is>
      </c>
    </row>
    <row r="325">
      <c r="A325" t="inlineStr">
        <is>
          <t>176144</t>
        </is>
      </c>
      <c r="B325" t="inlineStr">
        <is>
          <t>APARTMENT</t>
        </is>
      </c>
      <c r="C325" t="inlineStr">
        <is>
          <t>Beausejour</t>
        </is>
      </c>
      <c r="D325" t="inlineStr">
        <is>
          <t>Casablanca</t>
        </is>
      </c>
      <c r="E325" s="7" t="n">
        <v>2048000</v>
      </c>
      <c r="F325" s="8" t="n">
        <v>157</v>
      </c>
      <c r="G325" s="8" t="n"/>
      <c r="H325" s="8" t="n"/>
      <c r="I325" s="9">
        <f>IFERROR(E325/F325,"")</f>
        <v/>
      </c>
      <c r="J325" t="n">
        <v>3</v>
      </c>
      <c r="K325" t="n">
        <v>2</v>
      </c>
      <c r="P325" t="inlineStr">
        <is>
          <t>LISTED</t>
        </is>
      </c>
      <c r="S325" t="n">
        <v>33.56791770522049</v>
      </c>
      <c r="T325" t="n">
        <v>-7.652251159299148</v>
      </c>
      <c r="U325" s="7" t="n">
        <v>11782</v>
      </c>
      <c r="V325" t="inlineStr"/>
      <c r="W325" s="10" t="inlineStr">
        <is>
          <t>https://yakeey.com/fr-ma/achat/biens/176144</t>
        </is>
      </c>
    </row>
    <row r="326">
      <c r="A326" s="2" t="inlineStr">
        <is>
          <t>176270</t>
        </is>
      </c>
      <c r="B326" s="2" t="inlineStr">
        <is>
          <t>APARTMENT</t>
        </is>
      </c>
      <c r="C326" s="2" t="inlineStr">
        <is>
          <t>Les Princesses</t>
        </is>
      </c>
      <c r="D326" s="2" t="inlineStr">
        <is>
          <t>Casablanca</t>
        </is>
      </c>
      <c r="E326" s="3" t="n">
        <v>1280000</v>
      </c>
      <c r="F326" s="4" t="n">
        <v>106</v>
      </c>
      <c r="G326" s="4" t="n"/>
      <c r="H326" s="4" t="n"/>
      <c r="I326" s="5">
        <f>IFERROR(E326/F326,"")</f>
        <v/>
      </c>
      <c r="J326" s="2" t="n">
        <v>2</v>
      </c>
      <c r="K326" s="2" t="n">
        <v>1</v>
      </c>
      <c r="L326" s="2" t="n"/>
      <c r="M326" s="2" t="n"/>
      <c r="N326" s="2" t="n"/>
      <c r="O326" s="2" t="n"/>
      <c r="P326" s="2" t="inlineStr">
        <is>
          <t>LISTED</t>
        </is>
      </c>
      <c r="Q326" s="2" t="n"/>
      <c r="R326" s="2" t="n"/>
      <c r="S326" s="2" t="n">
        <v>33.57483189099834</v>
      </c>
      <c r="T326" s="2" t="n">
        <v>-7.647206794830755</v>
      </c>
      <c r="U326" s="3" t="n">
        <v>7363</v>
      </c>
      <c r="V326" s="2" t="inlineStr"/>
      <c r="W326" s="6" t="inlineStr">
        <is>
          <t>https://yakeey.com/fr-ma/achat/biens/176270</t>
        </is>
      </c>
    </row>
    <row r="327">
      <c r="A327" t="inlineStr">
        <is>
          <t>176586</t>
        </is>
      </c>
      <c r="B327" t="inlineStr">
        <is>
          <t>APARTMENT</t>
        </is>
      </c>
      <c r="C327" t="inlineStr">
        <is>
          <t>Beausejour</t>
        </is>
      </c>
      <c r="D327" t="inlineStr">
        <is>
          <t>Casablanca</t>
        </is>
      </c>
      <c r="E327" s="7" t="n">
        <v>1000000</v>
      </c>
      <c r="F327" s="8" t="n">
        <v>90</v>
      </c>
      <c r="G327" s="8" t="n"/>
      <c r="H327" s="8" t="n"/>
      <c r="I327" s="9">
        <f>IFERROR(E327/F327,"")</f>
        <v/>
      </c>
      <c r="J327" t="n">
        <v>2</v>
      </c>
      <c r="K327" t="n">
        <v>1</v>
      </c>
      <c r="P327" t="inlineStr">
        <is>
          <t>LISTED</t>
        </is>
      </c>
      <c r="S327" t="n">
        <v>33.5680634139856</v>
      </c>
      <c r="T327" t="n">
        <v>-7.648094977372048</v>
      </c>
      <c r="U327" s="7" t="n">
        <v>5753</v>
      </c>
      <c r="V327" t="inlineStr"/>
      <c r="W327" s="10" t="inlineStr">
        <is>
          <t>https://yakeey.com/fr-ma/achat/biens/176586</t>
        </is>
      </c>
    </row>
    <row r="328">
      <c r="A328" s="2" t="inlineStr">
        <is>
          <t>176757</t>
        </is>
      </c>
      <c r="B328" s="2" t="inlineStr">
        <is>
          <t>APARTMENT</t>
        </is>
      </c>
      <c r="C328" s="2" t="inlineStr">
        <is>
          <t>Palmier (Maarif)</t>
        </is>
      </c>
      <c r="D328" s="2" t="inlineStr">
        <is>
          <t>Casablanca</t>
        </is>
      </c>
      <c r="E328" s="3" t="n">
        <v>2900000</v>
      </c>
      <c r="F328" s="4" t="n">
        <v>148</v>
      </c>
      <c r="G328" s="4" t="n"/>
      <c r="H328" s="4" t="n"/>
      <c r="I328" s="5">
        <f>IFERROR(E328/F328,"")</f>
        <v/>
      </c>
      <c r="J328" s="2" t="n">
        <v>3</v>
      </c>
      <c r="K328" s="2" t="n">
        <v>2</v>
      </c>
      <c r="L328" s="2" t="n"/>
      <c r="M328" s="2" t="n"/>
      <c r="N328" s="2" t="n"/>
      <c r="O328" s="2" t="n"/>
      <c r="P328" s="2" t="inlineStr">
        <is>
          <t>LISTED</t>
        </is>
      </c>
      <c r="Q328" s="2" t="n"/>
      <c r="R328" s="2" t="n"/>
      <c r="S328" s="2" t="n">
        <v>33.58146579087745</v>
      </c>
      <c r="T328" s="2" t="n">
        <v>-7.628218587625347</v>
      </c>
      <c r="U328" s="3" t="n">
        <v>16683</v>
      </c>
      <c r="V328" s="2" t="inlineStr"/>
      <c r="W328" s="6" t="inlineStr">
        <is>
          <t>https://yakeey.com/fr-ma/achat/biens/176757</t>
        </is>
      </c>
    </row>
    <row r="329">
      <c r="A329" t="inlineStr">
        <is>
          <t>176930</t>
        </is>
      </c>
      <c r="B329" t="inlineStr">
        <is>
          <t>APARTMENT</t>
        </is>
      </c>
      <c r="C329" t="inlineStr">
        <is>
          <t>Palmier (Maarif)</t>
        </is>
      </c>
      <c r="D329" t="inlineStr">
        <is>
          <t>Casablanca</t>
        </is>
      </c>
      <c r="E329" s="7" t="n">
        <v>1950000</v>
      </c>
      <c r="F329" s="8" t="n">
        <v>99</v>
      </c>
      <c r="G329" s="8" t="n"/>
      <c r="H329" s="8" t="n"/>
      <c r="I329" s="9">
        <f>IFERROR(E329/F329,"")</f>
        <v/>
      </c>
      <c r="J329" t="n">
        <v>2</v>
      </c>
      <c r="K329" t="n">
        <v>1</v>
      </c>
      <c r="P329" t="inlineStr">
        <is>
          <t>LISTED</t>
        </is>
      </c>
      <c r="S329" t="n">
        <v>33.57904595644615</v>
      </c>
      <c r="T329" t="n">
        <v>-7.630505855654198</v>
      </c>
      <c r="U329" s="7" t="n">
        <v>11218</v>
      </c>
      <c r="V329" t="inlineStr"/>
      <c r="W329" s="10" t="inlineStr">
        <is>
          <t>https://yakeey.com/fr-ma/achat/biens/176930</t>
        </is>
      </c>
    </row>
    <row r="330">
      <c r="A330" s="2" t="inlineStr">
        <is>
          <t>176934</t>
        </is>
      </c>
      <c r="B330" s="2" t="inlineStr">
        <is>
          <t>APARTMENT</t>
        </is>
      </c>
      <c r="C330" s="2" t="inlineStr">
        <is>
          <t>Val Fleuri</t>
        </is>
      </c>
      <c r="D330" s="2" t="inlineStr">
        <is>
          <t>Casablanca</t>
        </is>
      </c>
      <c r="E330" s="3" t="n">
        <v>1350000</v>
      </c>
      <c r="F330" s="4" t="n">
        <v>108</v>
      </c>
      <c r="G330" s="4" t="n"/>
      <c r="H330" s="4" t="n"/>
      <c r="I330" s="5">
        <f>IFERROR(E330/F330,"")</f>
        <v/>
      </c>
      <c r="J330" s="2" t="n">
        <v>1</v>
      </c>
      <c r="K330" s="2" t="n">
        <v>1</v>
      </c>
      <c r="L330" s="2" t="n"/>
      <c r="M330" s="2" t="n"/>
      <c r="N330" s="2" t="n"/>
      <c r="O330" s="2" t="n"/>
      <c r="P330" s="2" t="inlineStr">
        <is>
          <t>LISTED</t>
        </is>
      </c>
      <c r="Q330" s="2" t="n"/>
      <c r="R330" s="2" t="n"/>
      <c r="S330" s="2" t="n">
        <v>33.57184323180525</v>
      </c>
      <c r="T330" s="2" t="n">
        <v>-7.636640281028142</v>
      </c>
      <c r="U330" s="3" t="n">
        <v>7766</v>
      </c>
      <c r="V330" s="2" t="inlineStr"/>
      <c r="W330" s="6" t="inlineStr">
        <is>
          <t>https://yakeey.com/fr-ma/achat/biens/176934</t>
        </is>
      </c>
    </row>
    <row r="331">
      <c r="A331" t="inlineStr">
        <is>
          <t>177045</t>
        </is>
      </c>
      <c r="B331" t="inlineStr">
        <is>
          <t>APARTMENT</t>
        </is>
      </c>
      <c r="C331" t="inlineStr">
        <is>
          <t>Almaz (Hay Hassani)</t>
        </is>
      </c>
      <c r="D331" t="inlineStr">
        <is>
          <t>Casablanca</t>
        </is>
      </c>
      <c r="E331" s="7" t="n">
        <v>1750000</v>
      </c>
      <c r="F331" s="8" t="n">
        <v>154</v>
      </c>
      <c r="G331" s="8" t="n"/>
      <c r="H331" s="8" t="n"/>
      <c r="I331" s="9">
        <f>IFERROR(E331/F331,"")</f>
        <v/>
      </c>
      <c r="J331" t="n">
        <v>4</v>
      </c>
      <c r="K331" t="n">
        <v>2</v>
      </c>
      <c r="P331" t="inlineStr">
        <is>
          <t>LISTED</t>
        </is>
      </c>
      <c r="S331" t="n">
        <v>33.50980685561687</v>
      </c>
      <c r="T331" t="n">
        <v>-7.678069705107184</v>
      </c>
      <c r="U331" s="7" t="n">
        <v>10067</v>
      </c>
      <c r="V331" t="inlineStr"/>
      <c r="W331" s="10" t="inlineStr">
        <is>
          <t>https://yakeey.com/fr-ma/achat/biens/177045</t>
        </is>
      </c>
    </row>
    <row r="332">
      <c r="A332" s="2" t="inlineStr">
        <is>
          <t>177056</t>
        </is>
      </c>
      <c r="B332" s="2" t="inlineStr">
        <is>
          <t>APARTMENT</t>
        </is>
      </c>
      <c r="C332" s="2" t="inlineStr">
        <is>
          <t>Belvedere (Roches Noires)</t>
        </is>
      </c>
      <c r="D332" s="2" t="inlineStr">
        <is>
          <t>Casablanca</t>
        </is>
      </c>
      <c r="E332" s="3" t="n">
        <v>1350000</v>
      </c>
      <c r="F332" s="4" t="n">
        <v>126</v>
      </c>
      <c r="G332" s="4" t="n"/>
      <c r="H332" s="4" t="n"/>
      <c r="I332" s="5">
        <f>IFERROR(E332/F332,"")</f>
        <v/>
      </c>
      <c r="J332" s="2" t="n">
        <v>2</v>
      </c>
      <c r="K332" s="2" t="n">
        <v>1</v>
      </c>
      <c r="L332" s="2" t="n"/>
      <c r="M332" s="2" t="n"/>
      <c r="N332" s="2" t="n"/>
      <c r="O332" s="2" t="n"/>
      <c r="P332" s="2" t="inlineStr">
        <is>
          <t>LISTED</t>
        </is>
      </c>
      <c r="Q332" s="2" t="n"/>
      <c r="R332" s="2" t="n"/>
      <c r="S332" s="2" t="n">
        <v>33.58627609810105</v>
      </c>
      <c r="T332" s="2" t="n">
        <v>-7.599006584496679</v>
      </c>
      <c r="U332" s="3" t="n">
        <v>7766</v>
      </c>
      <c r="V332" s="2" t="inlineStr"/>
      <c r="W332" s="6" t="inlineStr">
        <is>
          <t>https://yakeey.com/fr-ma/achat/biens/177056</t>
        </is>
      </c>
    </row>
    <row r="333">
      <c r="A333" t="inlineStr">
        <is>
          <t>177224</t>
        </is>
      </c>
      <c r="B333" t="inlineStr">
        <is>
          <t>APARTMENT</t>
        </is>
      </c>
      <c r="C333" t="inlineStr">
        <is>
          <t>Plateau</t>
        </is>
      </c>
      <c r="D333" t="inlineStr">
        <is>
          <t>Casablanca</t>
        </is>
      </c>
      <c r="E333" s="7" t="n">
        <v>1600000</v>
      </c>
      <c r="F333" s="8" t="n">
        <v>121</v>
      </c>
      <c r="G333" s="8" t="n"/>
      <c r="H333" s="8" t="n"/>
      <c r="I333" s="9">
        <f>IFERROR(E333/F333,"")</f>
        <v/>
      </c>
      <c r="J333" t="n">
        <v>3</v>
      </c>
      <c r="K333" t="n">
        <v>2</v>
      </c>
      <c r="P333" t="inlineStr">
        <is>
          <t>LISTED</t>
        </is>
      </c>
      <c r="S333" t="n">
        <v>33.56711411071662</v>
      </c>
      <c r="T333" t="n">
        <v>-7.626373014801181</v>
      </c>
      <c r="U333" s="7" t="n">
        <v>9204</v>
      </c>
      <c r="V333" t="inlineStr"/>
      <c r="W333" s="10" t="inlineStr">
        <is>
          <t>https://yakeey.com/fr-ma/achat/biens/177224</t>
        </is>
      </c>
    </row>
    <row r="334">
      <c r="A334" s="2" t="inlineStr">
        <is>
          <t>177336</t>
        </is>
      </c>
      <c r="B334" s="2" t="inlineStr">
        <is>
          <t>APARTMENT</t>
        </is>
      </c>
      <c r="C334" s="2" t="inlineStr">
        <is>
          <t>Val Fleuri</t>
        </is>
      </c>
      <c r="D334" s="2" t="inlineStr">
        <is>
          <t>Casablanca</t>
        </is>
      </c>
      <c r="E334" s="3" t="n">
        <v>2200000</v>
      </c>
      <c r="F334" s="4" t="n">
        <v>139</v>
      </c>
      <c r="G334" s="4" t="n"/>
      <c r="H334" s="4" t="n"/>
      <c r="I334" s="5">
        <f>IFERROR(E334/F334,"")</f>
        <v/>
      </c>
      <c r="J334" s="2" t="n">
        <v>3</v>
      </c>
      <c r="K334" s="2" t="n">
        <v>2</v>
      </c>
      <c r="L334" s="2" t="n"/>
      <c r="M334" s="2" t="n"/>
      <c r="N334" s="2" t="n"/>
      <c r="O334" s="2" t="n"/>
      <c r="P334" s="2" t="inlineStr">
        <is>
          <t>LISTED</t>
        </is>
      </c>
      <c r="Q334" s="2" t="n"/>
      <c r="R334" s="2" t="n"/>
      <c r="S334" s="2" t="n">
        <v>33.57638039135838</v>
      </c>
      <c r="T334" s="2" t="n">
        <v>-7.635224649752194</v>
      </c>
      <c r="U334" s="3" t="n">
        <v>12656</v>
      </c>
      <c r="V334" s="2" t="inlineStr"/>
      <c r="W334" s="6" t="inlineStr">
        <is>
          <t>https://yakeey.com/fr-ma/achat/biens/177336</t>
        </is>
      </c>
    </row>
    <row r="335">
      <c r="A335" t="inlineStr">
        <is>
          <t>177504</t>
        </is>
      </c>
      <c r="B335" t="inlineStr">
        <is>
          <t>APARTMENT</t>
        </is>
      </c>
      <c r="C335" t="inlineStr">
        <is>
          <t>Racine</t>
        </is>
      </c>
      <c r="D335" t="inlineStr">
        <is>
          <t>Casablanca</t>
        </is>
      </c>
      <c r="E335" s="7" t="n">
        <v>2700000</v>
      </c>
      <c r="F335" s="8" t="n">
        <v>175</v>
      </c>
      <c r="G335" s="8" t="n"/>
      <c r="H335" s="8" t="n"/>
      <c r="I335" s="9">
        <f>IFERROR(E335/F335,"")</f>
        <v/>
      </c>
      <c r="J335" t="n">
        <v>2</v>
      </c>
      <c r="K335" t="n">
        <v>2</v>
      </c>
      <c r="P335" t="inlineStr">
        <is>
          <t>LISTED</t>
        </is>
      </c>
      <c r="S335" t="n">
        <v>33.58804139064245</v>
      </c>
      <c r="T335" t="n">
        <v>-7.64399698943273</v>
      </c>
      <c r="U335" s="7" t="n">
        <v>15533</v>
      </c>
      <c r="V335" t="inlineStr"/>
      <c r="W335" s="10" t="inlineStr">
        <is>
          <t>https://yakeey.com/fr-ma/achat/biens/177504</t>
        </is>
      </c>
    </row>
    <row r="336">
      <c r="A336" s="2" t="inlineStr">
        <is>
          <t>177547</t>
        </is>
      </c>
      <c r="B336" s="2" t="inlineStr">
        <is>
          <t>APARTMENT</t>
        </is>
      </c>
      <c r="C336" s="2" t="inlineStr">
        <is>
          <t>Californie</t>
        </is>
      </c>
      <c r="D336" s="2" t="inlineStr">
        <is>
          <t>Casablanca</t>
        </is>
      </c>
      <c r="E336" s="3" t="n">
        <v>1797689</v>
      </c>
      <c r="F336" s="4" t="n">
        <v>123</v>
      </c>
      <c r="G336" s="4" t="n"/>
      <c r="H336" s="4" t="n"/>
      <c r="I336" s="5">
        <f>IFERROR(E336/F336,"")</f>
        <v/>
      </c>
      <c r="J336" s="2" t="n">
        <v>2</v>
      </c>
      <c r="K336" s="2" t="n">
        <v>1</v>
      </c>
      <c r="L336" s="2" t="n"/>
      <c r="M336" s="2" t="n"/>
      <c r="N336" s="2" t="n"/>
      <c r="O336" s="2" t="n"/>
      <c r="P336" s="2" t="inlineStr">
        <is>
          <t>LISTED</t>
        </is>
      </c>
      <c r="Q336" s="2" t="n"/>
      <c r="R336" s="2" t="n"/>
      <c r="S336" s="2" t="n">
        <v>33.53009981789514</v>
      </c>
      <c r="T336" s="2" t="n">
        <v>-7.609844464529266</v>
      </c>
      <c r="U336" s="3" t="n">
        <v>10342</v>
      </c>
      <c r="V336" s="2" t="inlineStr"/>
      <c r="W336" s="6" t="inlineStr">
        <is>
          <t>https://yakeey.com/fr-ma/achat/biens/177547</t>
        </is>
      </c>
    </row>
    <row r="337">
      <c r="A337" t="inlineStr">
        <is>
          <t>177585</t>
        </is>
      </c>
      <c r="B337" t="inlineStr">
        <is>
          <t>APARTMENT</t>
        </is>
      </c>
      <c r="C337" t="inlineStr">
        <is>
          <t>Beausejour</t>
        </is>
      </c>
      <c r="D337" t="inlineStr">
        <is>
          <t>Casablanca</t>
        </is>
      </c>
      <c r="E337" s="7" t="n">
        <v>995000</v>
      </c>
      <c r="F337" s="8" t="n">
        <v>72</v>
      </c>
      <c r="G337" s="8" t="n"/>
      <c r="H337" s="8" t="n"/>
      <c r="I337" s="9">
        <f>IFERROR(E337/F337,"")</f>
        <v/>
      </c>
      <c r="J337" t="n">
        <v>2</v>
      </c>
      <c r="K337" t="n">
        <v>2</v>
      </c>
      <c r="P337" t="inlineStr">
        <is>
          <t>LISTED</t>
        </is>
      </c>
      <c r="S337" t="n">
        <v>33.56776313386035</v>
      </c>
      <c r="T337" t="n">
        <v>-7.653593894022445</v>
      </c>
      <c r="U337" s="7" t="n">
        <v>5724</v>
      </c>
      <c r="V337" t="inlineStr"/>
      <c r="W337" s="10" t="inlineStr">
        <is>
          <t>https://yakeey.com/fr-ma/achat/biens/177585</t>
        </is>
      </c>
    </row>
    <row r="338">
      <c r="A338" s="2" t="inlineStr">
        <is>
          <t>177670</t>
        </is>
      </c>
      <c r="B338" s="2" t="inlineStr">
        <is>
          <t>APARTMENT</t>
        </is>
      </c>
      <c r="C338" s="2" t="inlineStr">
        <is>
          <t>Nassim</t>
        </is>
      </c>
      <c r="D338" s="2" t="inlineStr">
        <is>
          <t>Casablanca</t>
        </is>
      </c>
      <c r="E338" s="3" t="n">
        <v>580000</v>
      </c>
      <c r="F338" s="4" t="n">
        <v>71</v>
      </c>
      <c r="G338" s="4" t="n"/>
      <c r="H338" s="4" t="n"/>
      <c r="I338" s="5">
        <f>IFERROR(E338/F338,"")</f>
        <v/>
      </c>
      <c r="J338" s="2" t="n">
        <v>2</v>
      </c>
      <c r="K338" s="2" t="n">
        <v>1</v>
      </c>
      <c r="L338" s="2" t="n"/>
      <c r="M338" s="2" t="n"/>
      <c r="N338" s="2" t="n"/>
      <c r="O338" s="2" t="n"/>
      <c r="P338" s="2" t="inlineStr">
        <is>
          <t>LISTED</t>
        </is>
      </c>
      <c r="Q338" s="2" t="n"/>
      <c r="R338" s="2" t="n"/>
      <c r="S338" s="2" t="n">
        <v>33.52029416123526</v>
      </c>
      <c r="T338" s="2" t="n">
        <v>-7.660523112143489</v>
      </c>
      <c r="U338" s="3" t="n">
        <v>3336</v>
      </c>
      <c r="V338" s="2" t="inlineStr"/>
      <c r="W338" s="6" t="inlineStr">
        <is>
          <t>https://yakeey.com/fr-ma/achat/biens/177670</t>
        </is>
      </c>
    </row>
    <row r="339">
      <c r="A339" t="inlineStr">
        <is>
          <t>177762</t>
        </is>
      </c>
      <c r="B339" t="inlineStr">
        <is>
          <t>APARTMENT</t>
        </is>
      </c>
      <c r="C339" t="inlineStr">
        <is>
          <t>Roches Noires</t>
        </is>
      </c>
      <c r="D339" t="inlineStr">
        <is>
          <t>Casablanca</t>
        </is>
      </c>
      <c r="E339" s="7" t="n">
        <v>1480000</v>
      </c>
      <c r="F339" s="8" t="n">
        <v>144</v>
      </c>
      <c r="G339" s="8" t="n"/>
      <c r="H339" s="8" t="n"/>
      <c r="I339" s="9">
        <f>IFERROR(E339/F339,"")</f>
        <v/>
      </c>
      <c r="J339" t="n">
        <v>2</v>
      </c>
      <c r="K339" t="n">
        <v>1</v>
      </c>
      <c r="P339" t="inlineStr">
        <is>
          <t>LISTED</t>
        </is>
      </c>
      <c r="S339" t="n">
        <v>33.59951602675746</v>
      </c>
      <c r="T339" t="n">
        <v>-7.586412019432467</v>
      </c>
      <c r="U339" s="7" t="n">
        <v>8514</v>
      </c>
      <c r="V339" t="inlineStr"/>
      <c r="W339" s="10" t="inlineStr">
        <is>
          <t>https://yakeey.com/fr-ma/achat/biens/177762</t>
        </is>
      </c>
    </row>
    <row r="340">
      <c r="A340" s="2" t="inlineStr">
        <is>
          <t>177769</t>
        </is>
      </c>
      <c r="B340" s="2" t="inlineStr">
        <is>
          <t>APARTMENT</t>
        </is>
      </c>
      <c r="C340" s="2" t="inlineStr">
        <is>
          <t>Bourgogne (Sidi Belyout)</t>
        </is>
      </c>
      <c r="D340" s="2" t="inlineStr">
        <is>
          <t>Casablanca</t>
        </is>
      </c>
      <c r="E340" s="3" t="n">
        <v>1040000</v>
      </c>
      <c r="F340" s="4" t="n">
        <v>75</v>
      </c>
      <c r="G340" s="4" t="n"/>
      <c r="H340" s="4" t="n"/>
      <c r="I340" s="5">
        <f>IFERROR(E340/F340,"")</f>
        <v/>
      </c>
      <c r="J340" s="2" t="n">
        <v>2</v>
      </c>
      <c r="K340" s="2" t="n">
        <v>1</v>
      </c>
      <c r="L340" s="2" t="n"/>
      <c r="M340" s="2" t="n"/>
      <c r="N340" s="2" t="n"/>
      <c r="O340" s="2" t="n"/>
      <c r="P340" s="2" t="inlineStr">
        <is>
          <t>LISTED</t>
        </is>
      </c>
      <c r="Q340" s="2" t="n"/>
      <c r="R340" s="2" t="n"/>
      <c r="S340" s="2" t="n">
        <v>33.60074048040539</v>
      </c>
      <c r="T340" s="2" t="n">
        <v>-7.638284785306223</v>
      </c>
      <c r="U340" s="3" t="n">
        <v>5983</v>
      </c>
      <c r="V340" s="2" t="inlineStr"/>
      <c r="W340" s="6" t="inlineStr">
        <is>
          <t>https://yakeey.com/fr-ma/achat/biens/177769</t>
        </is>
      </c>
    </row>
    <row r="341">
      <c r="A341" t="inlineStr">
        <is>
          <t>177821</t>
        </is>
      </c>
      <c r="B341" t="inlineStr">
        <is>
          <t>APARTMENT</t>
        </is>
      </c>
      <c r="C341" t="inlineStr">
        <is>
          <t>Bachkou</t>
        </is>
      </c>
      <c r="D341" t="inlineStr">
        <is>
          <t>Casablanca</t>
        </is>
      </c>
      <c r="E341" s="7" t="n">
        <v>2100000</v>
      </c>
      <c r="F341" s="8" t="n">
        <v>138</v>
      </c>
      <c r="G341" s="8" t="n"/>
      <c r="H341" s="8" t="n"/>
      <c r="I341" s="9">
        <f>IFERROR(E341/F341,"")</f>
        <v/>
      </c>
      <c r="J341" t="n">
        <v>2</v>
      </c>
      <c r="K341" t="n">
        <v>2</v>
      </c>
      <c r="P341" t="inlineStr">
        <is>
          <t>LISTED</t>
        </is>
      </c>
      <c r="S341" t="n">
        <v>33.55452683809185</v>
      </c>
      <c r="T341" t="n">
        <v>-7.626661939863834</v>
      </c>
      <c r="U341" s="7" t="n">
        <v>12081</v>
      </c>
      <c r="V341" t="inlineStr"/>
      <c r="W341" s="10" t="inlineStr">
        <is>
          <t>https://yakeey.com/fr-ma/achat/biens/177821</t>
        </is>
      </c>
    </row>
    <row r="342">
      <c r="A342" s="2" t="inlineStr">
        <is>
          <t>17791</t>
        </is>
      </c>
      <c r="B342" s="2" t="inlineStr">
        <is>
          <t>APARTMENT</t>
        </is>
      </c>
      <c r="C342" s="2" t="inlineStr">
        <is>
          <t>Casa Green Town</t>
        </is>
      </c>
      <c r="D342" s="2" t="inlineStr">
        <is>
          <t>Nouaceur</t>
        </is>
      </c>
      <c r="E342" s="3" t="n">
        <v>2800000</v>
      </c>
      <c r="F342" s="4" t="n">
        <v>154</v>
      </c>
      <c r="G342" s="4" t="n"/>
      <c r="H342" s="4" t="n"/>
      <c r="I342" s="5">
        <f>IFERROR(E342/F342,"")</f>
        <v/>
      </c>
      <c r="J342" s="2" t="n">
        <v>3</v>
      </c>
      <c r="K342" s="2" t="n">
        <v>2</v>
      </c>
      <c r="L342" s="2" t="n"/>
      <c r="M342" s="2" t="n"/>
      <c r="N342" s="2" t="n"/>
      <c r="O342" s="2" t="n"/>
      <c r="P342" s="2" t="inlineStr">
        <is>
          <t>LISTED</t>
        </is>
      </c>
      <c r="Q342" s="2" t="n"/>
      <c r="R342" s="2" t="n"/>
      <c r="S342" s="2" t="n">
        <v>33.46847037618755</v>
      </c>
      <c r="T342" s="2" t="n">
        <v>-7.603890443304522</v>
      </c>
      <c r="U342" s="3" t="n">
        <v>16108</v>
      </c>
      <c r="V342" s="2" t="inlineStr"/>
      <c r="W342" s="6" t="inlineStr">
        <is>
          <t>https://yakeey.com/fr-ma/achat/biens/17791</t>
        </is>
      </c>
    </row>
    <row r="343">
      <c r="A343" t="inlineStr">
        <is>
          <t>177930</t>
        </is>
      </c>
      <c r="B343" t="inlineStr">
        <is>
          <t>APARTMENT</t>
        </is>
      </c>
      <c r="C343" t="inlineStr">
        <is>
          <t>Mers Sultan</t>
        </is>
      </c>
      <c r="D343" t="inlineStr">
        <is>
          <t>Casablanca</t>
        </is>
      </c>
      <c r="E343" s="7" t="n">
        <v>1550000</v>
      </c>
      <c r="F343" s="8" t="n">
        <v>109</v>
      </c>
      <c r="G343" s="8" t="n"/>
      <c r="H343" s="8" t="n"/>
      <c r="I343" s="9">
        <f>IFERROR(E343/F343,"")</f>
        <v/>
      </c>
      <c r="J343" t="n">
        <v>3</v>
      </c>
      <c r="K343" t="n">
        <v>2</v>
      </c>
      <c r="P343" t="inlineStr">
        <is>
          <t>LISTED</t>
        </is>
      </c>
      <c r="S343" t="n">
        <v>33.57471165018966</v>
      </c>
      <c r="T343" t="n">
        <v>-7.602372159898788</v>
      </c>
      <c r="U343" s="7" t="n">
        <v>8917</v>
      </c>
      <c r="V343" t="inlineStr"/>
      <c r="W343" s="10" t="inlineStr">
        <is>
          <t>https://yakeey.com/fr-ma/achat/biens/177930</t>
        </is>
      </c>
    </row>
    <row r="344">
      <c r="A344" s="2" t="inlineStr">
        <is>
          <t>177959</t>
        </is>
      </c>
      <c r="B344" s="2" t="inlineStr">
        <is>
          <t>APARTMENT</t>
        </is>
      </c>
      <c r="C344" s="2" t="inlineStr">
        <is>
          <t>Maarif Extension</t>
        </is>
      </c>
      <c r="D344" s="2" t="inlineStr">
        <is>
          <t>Casablanca</t>
        </is>
      </c>
      <c r="E344" s="3" t="n">
        <v>1300000</v>
      </c>
      <c r="F344" s="4" t="n">
        <v>89</v>
      </c>
      <c r="G344" s="4" t="n"/>
      <c r="H344" s="4" t="n"/>
      <c r="I344" s="5">
        <f>IFERROR(E344/F344,"")</f>
        <v/>
      </c>
      <c r="J344" s="2" t="n">
        <v>2</v>
      </c>
      <c r="K344" s="2" t="n">
        <v>1</v>
      </c>
      <c r="L344" s="2" t="n"/>
      <c r="M344" s="2" t="n"/>
      <c r="N344" s="2" t="n"/>
      <c r="O344" s="2" t="n"/>
      <c r="P344" s="2" t="inlineStr">
        <is>
          <t>LISTED</t>
        </is>
      </c>
      <c r="Q344" s="2" t="n"/>
      <c r="R344" s="2" t="n"/>
      <c r="S344" s="2" t="n">
        <v>33.57875245167749</v>
      </c>
      <c r="T344" s="2" t="n">
        <v>-7.642225522490342</v>
      </c>
      <c r="U344" s="3" t="n">
        <v>7478</v>
      </c>
      <c r="V344" s="2" t="inlineStr"/>
      <c r="W344" s="6" t="inlineStr">
        <is>
          <t>https://yakeey.com/fr-ma/achat/biens/177959</t>
        </is>
      </c>
    </row>
    <row r="345">
      <c r="A345" t="inlineStr">
        <is>
          <t>178155</t>
        </is>
      </c>
      <c r="B345" t="inlineStr">
        <is>
          <t>APARTMENT</t>
        </is>
      </c>
      <c r="C345" t="inlineStr">
        <is>
          <t>Californie</t>
        </is>
      </c>
      <c r="D345" t="inlineStr">
        <is>
          <t>Casablanca</t>
        </is>
      </c>
      <c r="E345" s="7" t="n">
        <v>1950000</v>
      </c>
      <c r="F345" s="8" t="n">
        <v>130</v>
      </c>
      <c r="G345" s="8" t="n"/>
      <c r="H345" s="8" t="n"/>
      <c r="I345" s="9">
        <f>IFERROR(E345/F345,"")</f>
        <v/>
      </c>
      <c r="J345" t="n">
        <v>3</v>
      </c>
      <c r="K345" t="n">
        <v>2</v>
      </c>
      <c r="P345" t="inlineStr">
        <is>
          <t>LISTED</t>
        </is>
      </c>
      <c r="S345" t="n">
        <v>33.53123798276041</v>
      </c>
      <c r="T345" t="n">
        <v>-7.596773430205308</v>
      </c>
      <c r="U345" s="7" t="n">
        <v>11218</v>
      </c>
      <c r="V345" t="inlineStr"/>
      <c r="W345" s="10" t="inlineStr">
        <is>
          <t>https://yakeey.com/fr-ma/achat/biens/178155</t>
        </is>
      </c>
    </row>
    <row r="346">
      <c r="A346" s="2" t="inlineStr">
        <is>
          <t>178291</t>
        </is>
      </c>
      <c r="B346" s="2" t="inlineStr">
        <is>
          <t>APARTMENT</t>
        </is>
      </c>
      <c r="C346" s="2" t="inlineStr">
        <is>
          <t>Ferme Bretonne</t>
        </is>
      </c>
      <c r="D346" s="2" t="inlineStr">
        <is>
          <t>Casablanca</t>
        </is>
      </c>
      <c r="E346" s="3" t="n">
        <v>1400000</v>
      </c>
      <c r="F346" s="4" t="n">
        <v>72</v>
      </c>
      <c r="G346" s="4" t="n"/>
      <c r="H346" s="4" t="n"/>
      <c r="I346" s="5">
        <f>IFERROR(E346/F346,"")</f>
        <v/>
      </c>
      <c r="J346" s="2" t="n">
        <v>2</v>
      </c>
      <c r="K346" s="2" t="n">
        <v>1</v>
      </c>
      <c r="L346" s="2" t="n"/>
      <c r="M346" s="2" t="n"/>
      <c r="N346" s="2" t="n"/>
      <c r="O346" s="2" t="n"/>
      <c r="P346" s="2" t="inlineStr">
        <is>
          <t>LISTED</t>
        </is>
      </c>
      <c r="Q346" s="2" t="n"/>
      <c r="R346" s="2" t="n"/>
      <c r="S346" s="2" t="n">
        <v>33.56381196416999</v>
      </c>
      <c r="T346" s="2" t="n">
        <v>-7.645361457546278</v>
      </c>
      <c r="U346" s="3" t="n">
        <v>8054</v>
      </c>
      <c r="V346" s="2" t="inlineStr"/>
      <c r="W346" s="6" t="inlineStr">
        <is>
          <t>https://yakeey.com/fr-ma/achat/biens/178291</t>
        </is>
      </c>
    </row>
    <row r="347">
      <c r="A347" t="inlineStr">
        <is>
          <t>178299</t>
        </is>
      </c>
      <c r="B347" t="inlineStr">
        <is>
          <t>APARTMENT</t>
        </is>
      </c>
      <c r="C347" t="inlineStr">
        <is>
          <t>Beausejour</t>
        </is>
      </c>
      <c r="D347" t="inlineStr">
        <is>
          <t>Casablanca</t>
        </is>
      </c>
      <c r="E347" s="7" t="n">
        <v>1490000</v>
      </c>
      <c r="F347" s="8" t="n">
        <v>134</v>
      </c>
      <c r="G347" s="8" t="n"/>
      <c r="H347" s="8" t="n"/>
      <c r="I347" s="9">
        <f>IFERROR(E347/F347,"")</f>
        <v/>
      </c>
      <c r="J347" t="n">
        <v>3</v>
      </c>
      <c r="K347" t="n">
        <v>1</v>
      </c>
      <c r="P347" t="inlineStr">
        <is>
          <t>LISTED</t>
        </is>
      </c>
      <c r="S347" t="n">
        <v>33.56692964793935</v>
      </c>
      <c r="T347" t="n">
        <v>-7.650085491163026</v>
      </c>
      <c r="U347" s="7" t="n">
        <v>8572</v>
      </c>
      <c r="V347" t="inlineStr"/>
      <c r="W347" s="10" t="inlineStr">
        <is>
          <t>https://yakeey.com/fr-ma/achat/biens/178299</t>
        </is>
      </c>
    </row>
    <row r="348">
      <c r="A348" s="2" t="inlineStr">
        <is>
          <t>178376</t>
        </is>
      </c>
      <c r="B348" s="2" t="inlineStr">
        <is>
          <t>APARTMENT</t>
        </is>
      </c>
      <c r="C348" s="2" t="inlineStr">
        <is>
          <t>Californie</t>
        </is>
      </c>
      <c r="D348" s="2" t="inlineStr">
        <is>
          <t>Casablanca</t>
        </is>
      </c>
      <c r="E348" s="3" t="n">
        <v>1620000</v>
      </c>
      <c r="F348" s="4" t="n">
        <v>98</v>
      </c>
      <c r="G348" s="4" t="n"/>
      <c r="H348" s="4" t="n"/>
      <c r="I348" s="5">
        <f>IFERROR(E348/F348,"")</f>
        <v/>
      </c>
      <c r="J348" s="2" t="n">
        <v>2</v>
      </c>
      <c r="K348" s="2" t="n">
        <v>2</v>
      </c>
      <c r="L348" s="2" t="n"/>
      <c r="M348" s="2" t="n"/>
      <c r="N348" s="2" t="n"/>
      <c r="O348" s="2" t="n"/>
      <c r="P348" s="2" t="inlineStr">
        <is>
          <t>LISTED</t>
        </is>
      </c>
      <c r="Q348" s="2" t="n"/>
      <c r="R348" s="2" t="n"/>
      <c r="S348" s="2" t="n">
        <v>33.52979737244686</v>
      </c>
      <c r="T348" s="2" t="n">
        <v>-7.615264241202411</v>
      </c>
      <c r="U348" s="3" t="n">
        <v>9319</v>
      </c>
      <c r="V348" s="2" t="inlineStr"/>
      <c r="W348" s="6" t="inlineStr">
        <is>
          <t>https://yakeey.com/fr-ma/achat/biens/178376</t>
        </is>
      </c>
    </row>
    <row r="349">
      <c r="A349" t="inlineStr">
        <is>
          <t>178417</t>
        </is>
      </c>
      <c r="B349" t="inlineStr">
        <is>
          <t>APARTMENT</t>
        </is>
      </c>
      <c r="C349" t="inlineStr">
        <is>
          <t>Bourgogne (Sidi Belyout)</t>
        </is>
      </c>
      <c r="D349" t="inlineStr">
        <is>
          <t>Casablanca</t>
        </is>
      </c>
      <c r="E349" s="7" t="n">
        <v>2000000</v>
      </c>
      <c r="F349" s="8" t="n">
        <v>155</v>
      </c>
      <c r="G349" s="8" t="n"/>
      <c r="H349" s="8" t="n"/>
      <c r="I349" s="9">
        <f>IFERROR(E349/F349,"")</f>
        <v/>
      </c>
      <c r="J349" t="n">
        <v>3</v>
      </c>
      <c r="K349" t="n">
        <v>2</v>
      </c>
      <c r="P349" t="inlineStr">
        <is>
          <t>LISTED</t>
        </is>
      </c>
      <c r="S349" t="n">
        <v>33.59849945094282</v>
      </c>
      <c r="T349" t="n">
        <v>-7.635972005670052</v>
      </c>
      <c r="U349" s="7" t="n">
        <v>11506</v>
      </c>
      <c r="V349" t="inlineStr"/>
      <c r="W349" s="10" t="inlineStr">
        <is>
          <t>https://yakeey.com/fr-ma/achat/biens/178417</t>
        </is>
      </c>
    </row>
    <row r="350">
      <c r="A350" s="2" t="inlineStr">
        <is>
          <t>178847</t>
        </is>
      </c>
      <c r="B350" s="2" t="inlineStr">
        <is>
          <t>APARTMENT</t>
        </is>
      </c>
      <c r="C350" s="2" t="inlineStr">
        <is>
          <t>Palmier (Sidi Belyout)</t>
        </is>
      </c>
      <c r="D350" s="2" t="inlineStr">
        <is>
          <t>Casablanca</t>
        </is>
      </c>
      <c r="E350" s="3" t="n">
        <v>2100000</v>
      </c>
      <c r="F350" s="4" t="n">
        <v>130</v>
      </c>
      <c r="G350" s="4" t="n"/>
      <c r="H350" s="4" t="n"/>
      <c r="I350" s="5">
        <f>IFERROR(E350/F350,"")</f>
        <v/>
      </c>
      <c r="J350" s="2" t="n">
        <v>3</v>
      </c>
      <c r="K350" s="2" t="n">
        <v>2</v>
      </c>
      <c r="L350" s="2" t="n"/>
      <c r="M350" s="2" t="n"/>
      <c r="N350" s="2" t="n"/>
      <c r="O350" s="2" t="n"/>
      <c r="P350" s="2" t="inlineStr">
        <is>
          <t>LISTED</t>
        </is>
      </c>
      <c r="Q350" s="2" t="n"/>
      <c r="R350" s="2" t="n"/>
      <c r="S350" s="2" t="n">
        <v>33.57861538408007</v>
      </c>
      <c r="T350" s="2" t="n">
        <v>-7.625333188794858</v>
      </c>
      <c r="U350" s="3" t="n">
        <v>12081</v>
      </c>
      <c r="V350" s="2" t="inlineStr"/>
      <c r="W350" s="6" t="inlineStr">
        <is>
          <t>https://yakeey.com/fr-ma/achat/biens/178847</t>
        </is>
      </c>
    </row>
    <row r="351">
      <c r="A351" t="inlineStr">
        <is>
          <t>178925</t>
        </is>
      </c>
      <c r="B351" t="inlineStr">
        <is>
          <t>APARTMENT</t>
        </is>
      </c>
      <c r="C351" t="inlineStr">
        <is>
          <t>Ain Sebaa</t>
        </is>
      </c>
      <c r="D351" t="inlineStr">
        <is>
          <t>Casablanca</t>
        </is>
      </c>
      <c r="E351" s="7" t="n">
        <v>955733</v>
      </c>
      <c r="F351" s="8" t="n">
        <v>97</v>
      </c>
      <c r="G351" s="8" t="n"/>
      <c r="H351" s="8" t="n"/>
      <c r="I351" s="9">
        <f>IFERROR(E351/F351,"")</f>
        <v/>
      </c>
      <c r="J351" t="n">
        <v>2</v>
      </c>
      <c r="K351" t="n">
        <v>2</v>
      </c>
      <c r="P351" t="inlineStr">
        <is>
          <t>LISTED</t>
        </is>
      </c>
      <c r="S351" t="n">
        <v>33.61465880494193</v>
      </c>
      <c r="T351" t="n">
        <v>-7.536527030085068</v>
      </c>
      <c r="U351" s="7" t="n">
        <v>5498</v>
      </c>
      <c r="V351" t="inlineStr"/>
      <c r="W351" s="10" t="inlineStr">
        <is>
          <t>https://yakeey.com/fr-ma/achat/biens/178925</t>
        </is>
      </c>
    </row>
    <row r="352">
      <c r="A352" s="2" t="inlineStr">
        <is>
          <t>179011</t>
        </is>
      </c>
      <c r="B352" s="2" t="inlineStr">
        <is>
          <t>APARTMENT</t>
        </is>
      </c>
      <c r="C352" s="2" t="inlineStr">
        <is>
          <t>Hopitaux</t>
        </is>
      </c>
      <c r="D352" s="2" t="inlineStr">
        <is>
          <t>Casablanca</t>
        </is>
      </c>
      <c r="E352" s="3" t="n">
        <v>1850000</v>
      </c>
      <c r="F352" s="4" t="n">
        <v>135</v>
      </c>
      <c r="G352" s="4" t="n"/>
      <c r="H352" s="4" t="n"/>
      <c r="I352" s="5">
        <f>IFERROR(E352/F352,"")</f>
        <v/>
      </c>
      <c r="J352" s="2" t="n">
        <v>3</v>
      </c>
      <c r="K352" s="2" t="n">
        <v>2</v>
      </c>
      <c r="L352" s="2" t="n"/>
      <c r="M352" s="2" t="n"/>
      <c r="N352" s="2" t="n"/>
      <c r="O352" s="2" t="n"/>
      <c r="P352" s="2" t="inlineStr">
        <is>
          <t>LISTED</t>
        </is>
      </c>
      <c r="Q352" s="2" t="n"/>
      <c r="R352" s="2" t="n"/>
      <c r="S352" s="2" t="n">
        <v>33.57048199182051</v>
      </c>
      <c r="T352" s="2" t="n">
        <v>-7.614751821519278</v>
      </c>
      <c r="U352" s="3" t="n">
        <v>10643</v>
      </c>
      <c r="V352" s="2" t="inlineStr"/>
      <c r="W352" s="6" t="inlineStr">
        <is>
          <t>https://yakeey.com/fr-ma/achat/biens/179011</t>
        </is>
      </c>
    </row>
    <row r="353">
      <c r="A353" t="inlineStr">
        <is>
          <t>179134</t>
        </is>
      </c>
      <c r="B353" t="inlineStr">
        <is>
          <t>APARTMENT</t>
        </is>
      </c>
      <c r="C353" t="inlineStr">
        <is>
          <t>Ain Sebaa</t>
        </is>
      </c>
      <c r="D353" t="inlineStr">
        <is>
          <t>Casablanca</t>
        </is>
      </c>
      <c r="E353" s="7" t="n">
        <v>990000</v>
      </c>
      <c r="F353" s="8" t="n">
        <v>88</v>
      </c>
      <c r="G353" s="8" t="n"/>
      <c r="H353" s="8" t="n"/>
      <c r="I353" s="9">
        <f>IFERROR(E353/F353,"")</f>
        <v/>
      </c>
      <c r="J353" t="n">
        <v>3</v>
      </c>
      <c r="K353" t="n">
        <v>1</v>
      </c>
      <c r="P353" t="inlineStr">
        <is>
          <t>LISTED</t>
        </is>
      </c>
      <c r="S353" t="n">
        <v>33.60688530196043</v>
      </c>
      <c r="T353" t="n">
        <v>-7.546078131783919</v>
      </c>
      <c r="U353" s="7" t="n">
        <v>5695</v>
      </c>
      <c r="V353" t="inlineStr"/>
      <c r="W353" s="10" t="inlineStr">
        <is>
          <t>https://yakeey.com/fr-ma/achat/biens/179134</t>
        </is>
      </c>
    </row>
    <row r="354">
      <c r="A354" s="2" t="inlineStr">
        <is>
          <t>179286</t>
        </is>
      </c>
      <c r="B354" s="2" t="inlineStr">
        <is>
          <t>APARTMENT</t>
        </is>
      </c>
      <c r="C354" s="2" t="inlineStr">
        <is>
          <t>Bourgogne (Anfa)</t>
        </is>
      </c>
      <c r="D354" s="2" t="inlineStr">
        <is>
          <t>Casablanca</t>
        </is>
      </c>
      <c r="E354" s="3" t="n">
        <v>1150000</v>
      </c>
      <c r="F354" s="4" t="n">
        <v>88</v>
      </c>
      <c r="G354" s="4" t="n"/>
      <c r="H354" s="4" t="n"/>
      <c r="I354" s="5">
        <f>IFERROR(E354/F354,"")</f>
        <v/>
      </c>
      <c r="J354" s="2" t="n">
        <v>2</v>
      </c>
      <c r="K354" s="2" t="n">
        <v>1</v>
      </c>
      <c r="L354" s="2" t="n"/>
      <c r="M354" s="2" t="n"/>
      <c r="N354" s="2" t="n"/>
      <c r="O354" s="2" t="n"/>
      <c r="P354" s="2" t="inlineStr">
        <is>
          <t>LISTED</t>
        </is>
      </c>
      <c r="Q354" s="2" t="n"/>
      <c r="R354" s="2" t="n"/>
      <c r="S354" s="2" t="n">
        <v>33.59864499218988</v>
      </c>
      <c r="T354" s="2" t="n">
        <v>-7.643326512322072</v>
      </c>
      <c r="U354" s="3" t="n">
        <v>6616</v>
      </c>
      <c r="V354" s="2" t="inlineStr"/>
      <c r="W354" s="6" t="inlineStr">
        <is>
          <t>https://yakeey.com/fr-ma/achat/biens/179286</t>
        </is>
      </c>
    </row>
    <row r="355">
      <c r="A355" t="inlineStr">
        <is>
          <t>179357</t>
        </is>
      </c>
      <c r="B355" t="inlineStr">
        <is>
          <t>APARTMENT</t>
        </is>
      </c>
      <c r="C355" t="inlineStr">
        <is>
          <t>Sidi Bernoussi</t>
        </is>
      </c>
      <c r="D355" t="inlineStr">
        <is>
          <t>Casablanca</t>
        </is>
      </c>
      <c r="E355" s="7" t="n">
        <v>750000</v>
      </c>
      <c r="F355" s="8" t="n">
        <v>96</v>
      </c>
      <c r="G355" s="8" t="n"/>
      <c r="H355" s="8" t="n"/>
      <c r="I355" s="9">
        <f>IFERROR(E355/F355,"")</f>
        <v/>
      </c>
      <c r="J355" t="n">
        <v>3</v>
      </c>
      <c r="K355" t="n">
        <v>2</v>
      </c>
      <c r="P355" t="inlineStr">
        <is>
          <t>LISTED</t>
        </is>
      </c>
      <c r="S355" t="n">
        <v>33.62099363019878</v>
      </c>
      <c r="T355" t="n">
        <v>-7.47718181825565</v>
      </c>
      <c r="U355" s="7" t="n">
        <v>4314</v>
      </c>
      <c r="V355" t="inlineStr"/>
      <c r="W355" s="10" t="inlineStr">
        <is>
          <t>https://yakeey.com/fr-ma/achat/biens/179357</t>
        </is>
      </c>
    </row>
    <row r="356">
      <c r="A356" s="2" t="inlineStr">
        <is>
          <t>179399</t>
        </is>
      </c>
      <c r="B356" s="2" t="inlineStr">
        <is>
          <t>APARTMENT</t>
        </is>
      </c>
      <c r="C356" s="2" t="inlineStr">
        <is>
          <t>Racine</t>
        </is>
      </c>
      <c r="D356" s="2" t="inlineStr">
        <is>
          <t>Casablanca</t>
        </is>
      </c>
      <c r="E356" s="3" t="n">
        <v>4500000</v>
      </c>
      <c r="F356" s="4" t="n">
        <v>258</v>
      </c>
      <c r="G356" s="4" t="n"/>
      <c r="H356" s="4" t="n"/>
      <c r="I356" s="5">
        <f>IFERROR(E356/F356,"")</f>
        <v/>
      </c>
      <c r="J356" s="2" t="n">
        <v>3</v>
      </c>
      <c r="K356" s="2" t="n">
        <v>2</v>
      </c>
      <c r="L356" s="2" t="n"/>
      <c r="M356" s="2" t="n"/>
      <c r="N356" s="2" t="n"/>
      <c r="O356" s="2" t="n"/>
      <c r="P356" s="2" t="inlineStr">
        <is>
          <t>LISTED</t>
        </is>
      </c>
      <c r="Q356" s="2" t="n"/>
      <c r="R356" s="2" t="n"/>
      <c r="S356" s="2" t="n">
        <v>33.58954419260105</v>
      </c>
      <c r="T356" s="2" t="n">
        <v>-7.64212394947097</v>
      </c>
      <c r="U356" s="3" t="n">
        <v>25888</v>
      </c>
      <c r="V356" s="2" t="inlineStr"/>
      <c r="W356" s="6" t="inlineStr">
        <is>
          <t>https://yakeey.com/fr-ma/achat/biens/179399</t>
        </is>
      </c>
    </row>
    <row r="357">
      <c r="A357" t="inlineStr">
        <is>
          <t>179528</t>
        </is>
      </c>
      <c r="B357" t="inlineStr">
        <is>
          <t>APARTMENT</t>
        </is>
      </c>
      <c r="C357" t="inlineStr">
        <is>
          <t>Californie</t>
        </is>
      </c>
      <c r="D357" t="inlineStr">
        <is>
          <t>Casablanca</t>
        </is>
      </c>
      <c r="E357" s="7" t="n">
        <v>820000</v>
      </c>
      <c r="F357" s="8" t="n">
        <v>69</v>
      </c>
      <c r="G357" s="8" t="n"/>
      <c r="H357" s="8" t="n"/>
      <c r="I357" s="9">
        <f>IFERROR(E357/F357,"")</f>
        <v/>
      </c>
      <c r="J357" t="n">
        <v>2</v>
      </c>
      <c r="K357" t="n">
        <v>1</v>
      </c>
      <c r="P357" t="inlineStr">
        <is>
          <t>LISTED</t>
        </is>
      </c>
      <c r="S357" t="n">
        <v>33.53438692153377</v>
      </c>
      <c r="T357" t="n">
        <v>-7.605849676211593</v>
      </c>
      <c r="U357" s="7" t="n">
        <v>4717</v>
      </c>
      <c r="V357" t="inlineStr"/>
      <c r="W357" s="10" t="inlineStr">
        <is>
          <t>https://yakeey.com/fr-ma/achat/biens/179528</t>
        </is>
      </c>
    </row>
    <row r="358">
      <c r="A358" s="2" t="inlineStr">
        <is>
          <t>179530</t>
        </is>
      </c>
      <c r="B358" s="2" t="inlineStr">
        <is>
          <t>APARTMENT</t>
        </is>
      </c>
      <c r="C358" s="2" t="inlineStr">
        <is>
          <t>Racine</t>
        </is>
      </c>
      <c r="D358" s="2" t="inlineStr">
        <is>
          <t>Casablanca</t>
        </is>
      </c>
      <c r="E358" s="3" t="n">
        <v>2500000</v>
      </c>
      <c r="F358" s="4" t="n">
        <v>159</v>
      </c>
      <c r="G358" s="4" t="n"/>
      <c r="H358" s="4" t="n"/>
      <c r="I358" s="5">
        <f>IFERROR(E358/F358,"")</f>
        <v/>
      </c>
      <c r="J358" s="2" t="n">
        <v>2</v>
      </c>
      <c r="K358" s="2" t="n">
        <v>2</v>
      </c>
      <c r="L358" s="2" t="n"/>
      <c r="M358" s="2" t="n"/>
      <c r="N358" s="2" t="n"/>
      <c r="O358" s="2" t="n"/>
      <c r="P358" s="2" t="inlineStr">
        <is>
          <t>LISTED</t>
        </is>
      </c>
      <c r="Q358" s="2" t="n"/>
      <c r="R358" s="2" t="n"/>
      <c r="S358" s="2" t="n">
        <v>33.58917345421422</v>
      </c>
      <c r="T358" s="2" t="n">
        <v>-7.639287190491604</v>
      </c>
      <c r="U358" s="3" t="n">
        <v>14382</v>
      </c>
      <c r="V358" s="2" t="inlineStr"/>
      <c r="W358" s="6" t="inlineStr">
        <is>
          <t>https://yakeey.com/fr-ma/achat/biens/179530</t>
        </is>
      </c>
    </row>
    <row r="359">
      <c r="A359" t="inlineStr">
        <is>
          <t>179684</t>
        </is>
      </c>
      <c r="B359" t="inlineStr">
        <is>
          <t>APARTMENT</t>
        </is>
      </c>
      <c r="C359" t="inlineStr">
        <is>
          <t>Burger</t>
        </is>
      </c>
      <c r="D359" t="inlineStr">
        <is>
          <t>Casablanca</t>
        </is>
      </c>
      <c r="E359" s="7" t="n">
        <v>1590000</v>
      </c>
      <c r="F359" s="8" t="n">
        <v>97</v>
      </c>
      <c r="G359" s="8" t="n"/>
      <c r="H359" s="8" t="n"/>
      <c r="I359" s="9">
        <f>IFERROR(E359/F359,"")</f>
        <v/>
      </c>
      <c r="J359" t="n">
        <v>2</v>
      </c>
      <c r="K359" t="n">
        <v>2</v>
      </c>
      <c r="P359" t="inlineStr">
        <is>
          <t>LISTED</t>
        </is>
      </c>
      <c r="S359" t="n">
        <v>33.57518764678206</v>
      </c>
      <c r="T359" t="n">
        <v>-7.642202825403503</v>
      </c>
      <c r="U359" s="7" t="n">
        <v>9147</v>
      </c>
      <c r="V359" t="inlineStr"/>
      <c r="W359" s="10" t="inlineStr">
        <is>
          <t>https://yakeey.com/fr-ma/achat/biens/179684</t>
        </is>
      </c>
    </row>
    <row r="360">
      <c r="A360" s="2" t="inlineStr">
        <is>
          <t>179712</t>
        </is>
      </c>
      <c r="B360" s="2" t="inlineStr">
        <is>
          <t>APARTMENT</t>
        </is>
      </c>
      <c r="C360" s="2" t="inlineStr">
        <is>
          <t>Sidi Othmane</t>
        </is>
      </c>
      <c r="D360" s="2" t="inlineStr">
        <is>
          <t>Casablanca</t>
        </is>
      </c>
      <c r="E360" s="3" t="n">
        <v>670000</v>
      </c>
      <c r="F360" s="4" t="n">
        <v>62</v>
      </c>
      <c r="G360" s="4" t="n"/>
      <c r="H360" s="4" t="n"/>
      <c r="I360" s="5">
        <f>IFERROR(E360/F360,"")</f>
        <v/>
      </c>
      <c r="J360" s="2" t="n">
        <v>2</v>
      </c>
      <c r="K360" s="2" t="n">
        <v>1</v>
      </c>
      <c r="L360" s="2" t="n"/>
      <c r="M360" s="2" t="n"/>
      <c r="N360" s="2" t="n"/>
      <c r="O360" s="2" t="n"/>
      <c r="P360" s="2" t="inlineStr">
        <is>
          <t>LISTED</t>
        </is>
      </c>
      <c r="Q360" s="2" t="n"/>
      <c r="R360" s="2" t="n"/>
      <c r="S360" s="2" t="n">
        <v>33.56132751989396</v>
      </c>
      <c r="T360" s="2" t="n">
        <v>-7.559410628357623</v>
      </c>
      <c r="U360" s="3" t="n">
        <v>3854</v>
      </c>
      <c r="V360" s="2" t="inlineStr"/>
      <c r="W360" s="6" t="inlineStr">
        <is>
          <t>https://yakeey.com/fr-ma/achat/biens/179712</t>
        </is>
      </c>
    </row>
    <row r="361">
      <c r="A361" t="inlineStr">
        <is>
          <t>180012</t>
        </is>
      </c>
      <c r="B361" t="inlineStr">
        <is>
          <t>APARTMENT</t>
        </is>
      </c>
      <c r="C361" t="inlineStr">
        <is>
          <t>Maarif Extension</t>
        </is>
      </c>
      <c r="D361" t="inlineStr">
        <is>
          <t>Casablanca</t>
        </is>
      </c>
      <c r="E361" s="7" t="n">
        <v>2150000</v>
      </c>
      <c r="F361" s="8" t="n">
        <v>128</v>
      </c>
      <c r="G361" s="8" t="n"/>
      <c r="H361" s="8" t="n"/>
      <c r="I361" s="9">
        <f>IFERROR(E361/F361,"")</f>
        <v/>
      </c>
      <c r="J361" t="n">
        <v>3</v>
      </c>
      <c r="K361" t="n">
        <v>2</v>
      </c>
      <c r="P361" t="inlineStr">
        <is>
          <t>LISTED</t>
        </is>
      </c>
      <c r="S361" t="n">
        <v>33.57869631859854</v>
      </c>
      <c r="T361" t="n">
        <v>-7.64229551513211</v>
      </c>
      <c r="U361" s="7" t="n">
        <v>12369</v>
      </c>
      <c r="V361" t="inlineStr"/>
      <c r="W361" s="10" t="inlineStr">
        <is>
          <t>https://yakeey.com/fr-ma/achat/biens/180012</t>
        </is>
      </c>
    </row>
    <row r="362">
      <c r="A362" s="2" t="inlineStr">
        <is>
          <t>180180</t>
        </is>
      </c>
      <c r="B362" s="2" t="inlineStr">
        <is>
          <t>APARTMENT</t>
        </is>
      </c>
      <c r="C362" s="2" t="inlineStr">
        <is>
          <t>Fonciere</t>
        </is>
      </c>
      <c r="D362" s="2" t="inlineStr">
        <is>
          <t>Casablanca</t>
        </is>
      </c>
      <c r="E362" s="3" t="n">
        <v>1500000</v>
      </c>
      <c r="F362" s="4" t="n">
        <v>141</v>
      </c>
      <c r="G362" s="4" t="n"/>
      <c r="H362" s="4" t="n"/>
      <c r="I362" s="5">
        <f>IFERROR(E362/F362,"")</f>
        <v/>
      </c>
      <c r="J362" s="2" t="n">
        <v>2</v>
      </c>
      <c r="K362" s="2" t="n">
        <v>1</v>
      </c>
      <c r="L362" s="2" t="n"/>
      <c r="M362" s="2" t="n"/>
      <c r="N362" s="2" t="n"/>
      <c r="O362" s="2" t="n"/>
      <c r="P362" s="2" t="inlineStr">
        <is>
          <t>LISTED</t>
        </is>
      </c>
      <c r="Q362" s="2" t="n"/>
      <c r="R362" s="2" t="n"/>
      <c r="S362" s="2" t="n">
        <v>33.59273738359214</v>
      </c>
      <c r="T362" s="2" t="n">
        <v>-7.607251083296261</v>
      </c>
      <c r="U362" s="3" t="n">
        <v>8629</v>
      </c>
      <c r="V362" s="2" t="inlineStr"/>
      <c r="W362" s="6" t="inlineStr">
        <is>
          <t>https://yakeey.com/fr-ma/achat/biens/180180</t>
        </is>
      </c>
    </row>
    <row r="363">
      <c r="A363" t="inlineStr">
        <is>
          <t>180215</t>
        </is>
      </c>
      <c r="B363" t="inlineStr">
        <is>
          <t>APARTMENT</t>
        </is>
      </c>
      <c r="C363" t="inlineStr">
        <is>
          <t>Gauthier</t>
        </is>
      </c>
      <c r="D363" t="inlineStr">
        <is>
          <t>Casablanca</t>
        </is>
      </c>
      <c r="E363" s="7" t="n">
        <v>1250000</v>
      </c>
      <c r="F363" s="8" t="n">
        <v>84</v>
      </c>
      <c r="G363" s="8" t="n"/>
      <c r="H363" s="8" t="n"/>
      <c r="I363" s="9">
        <f>IFERROR(E363/F363,"")</f>
        <v/>
      </c>
      <c r="J363" t="n">
        <v>2</v>
      </c>
      <c r="K363" t="n">
        <v>1</v>
      </c>
      <c r="P363" t="inlineStr">
        <is>
          <t>LISTED</t>
        </is>
      </c>
      <c r="S363" t="n">
        <v>33.5933940515247</v>
      </c>
      <c r="T363" t="n">
        <v>-7.633431127584265</v>
      </c>
      <c r="U363" s="7" t="n">
        <v>7191</v>
      </c>
      <c r="V363" t="inlineStr"/>
      <c r="W363" s="10" t="inlineStr">
        <is>
          <t>https://yakeey.com/fr-ma/achat/biens/180215</t>
        </is>
      </c>
    </row>
    <row r="364">
      <c r="A364" s="2" t="inlineStr">
        <is>
          <t>180262</t>
        </is>
      </c>
      <c r="B364" s="2" t="inlineStr">
        <is>
          <t>APARTMENT</t>
        </is>
      </c>
      <c r="C364" s="2" t="inlineStr">
        <is>
          <t>Oulfa</t>
        </is>
      </c>
      <c r="D364" s="2" t="inlineStr">
        <is>
          <t>Casablanca</t>
        </is>
      </c>
      <c r="E364" s="3" t="n">
        <v>1100000</v>
      </c>
      <c r="F364" s="4" t="n">
        <v>119</v>
      </c>
      <c r="G364" s="4" t="n"/>
      <c r="H364" s="4" t="n"/>
      <c r="I364" s="5">
        <f>IFERROR(E364/F364,"")</f>
        <v/>
      </c>
      <c r="J364" s="2" t="n">
        <v>3</v>
      </c>
      <c r="K364" s="2" t="n">
        <v>1</v>
      </c>
      <c r="L364" s="2" t="n"/>
      <c r="M364" s="2" t="n"/>
      <c r="N364" s="2" t="n"/>
      <c r="O364" s="2" t="n"/>
      <c r="P364" s="2" t="inlineStr">
        <is>
          <t>LISTED</t>
        </is>
      </c>
      <c r="Q364" s="2" t="n"/>
      <c r="R364" s="2" t="n"/>
      <c r="S364" s="2" t="n">
        <v>33.53964380820594</v>
      </c>
      <c r="T364" s="2" t="n">
        <v>-7.685271913326974</v>
      </c>
      <c r="U364" s="3" t="n">
        <v>6328</v>
      </c>
      <c r="V364" s="2" t="inlineStr"/>
      <c r="W364" s="6" t="inlineStr">
        <is>
          <t>https://yakeey.com/fr-ma/achat/biens/180262</t>
        </is>
      </c>
    </row>
    <row r="365">
      <c r="A365" t="inlineStr">
        <is>
          <t>180271</t>
        </is>
      </c>
      <c r="B365" t="inlineStr">
        <is>
          <t>APARTMENT</t>
        </is>
      </c>
      <c r="C365" t="inlineStr">
        <is>
          <t>La Gironde</t>
        </is>
      </c>
      <c r="D365" t="inlineStr">
        <is>
          <t>Casablanca</t>
        </is>
      </c>
      <c r="E365" s="7" t="n">
        <v>1400000</v>
      </c>
      <c r="F365" s="8" t="n">
        <v>128</v>
      </c>
      <c r="G365" s="8" t="n"/>
      <c r="H365" s="8" t="n"/>
      <c r="I365" s="9">
        <f>IFERROR(E365/F365,"")</f>
        <v/>
      </c>
      <c r="J365" t="n">
        <v>3</v>
      </c>
      <c r="K365" t="n">
        <v>2</v>
      </c>
      <c r="P365" t="inlineStr">
        <is>
          <t>LISTED</t>
        </is>
      </c>
      <c r="S365" t="n">
        <v>33.58346188894618</v>
      </c>
      <c r="T365" t="n">
        <v>-7.602004498877534</v>
      </c>
      <c r="U365" s="7" t="n">
        <v>8054</v>
      </c>
      <c r="V365" t="inlineStr"/>
      <c r="W365" s="10" t="inlineStr">
        <is>
          <t>https://yakeey.com/fr-ma/achat/biens/180271</t>
        </is>
      </c>
    </row>
    <row r="366">
      <c r="A366" s="2" t="inlineStr">
        <is>
          <t>180354</t>
        </is>
      </c>
      <c r="B366" s="2" t="inlineStr">
        <is>
          <t>APARTMENT</t>
        </is>
      </c>
      <c r="C366" s="2" t="inlineStr">
        <is>
          <t>Ain Sebaa</t>
        </is>
      </c>
      <c r="D366" s="2" t="inlineStr">
        <is>
          <t>Casablanca</t>
        </is>
      </c>
      <c r="E366" s="3" t="n">
        <v>1040000</v>
      </c>
      <c r="F366" s="4" t="n">
        <v>97</v>
      </c>
      <c r="G366" s="4" t="n"/>
      <c r="H366" s="4" t="n"/>
      <c r="I366" s="5">
        <f>IFERROR(E366/F366,"")</f>
        <v/>
      </c>
      <c r="J366" s="2" t="n">
        <v>3</v>
      </c>
      <c r="K366" s="2" t="n">
        <v>2</v>
      </c>
      <c r="L366" s="2" t="n"/>
      <c r="M366" s="2" t="n"/>
      <c r="N366" s="2" t="n"/>
      <c r="O366" s="2" t="n"/>
      <c r="P366" s="2" t="inlineStr">
        <is>
          <t>LISTED</t>
        </is>
      </c>
      <c r="Q366" s="2" t="n"/>
      <c r="R366" s="2" t="n"/>
      <c r="S366" s="2" t="n">
        <v>33.60568403423804</v>
      </c>
      <c r="T366" s="2" t="n">
        <v>-7.532278742873006</v>
      </c>
      <c r="U366" s="3" t="n">
        <v>5983</v>
      </c>
      <c r="V366" s="2" t="inlineStr"/>
      <c r="W366" s="6" t="inlineStr">
        <is>
          <t>https://yakeey.com/fr-ma/achat/biens/180354</t>
        </is>
      </c>
    </row>
    <row r="367">
      <c r="A367" t="inlineStr">
        <is>
          <t>180421</t>
        </is>
      </c>
      <c r="B367" t="inlineStr">
        <is>
          <t>APARTMENT</t>
        </is>
      </c>
      <c r="C367" t="inlineStr">
        <is>
          <t>Bourgogne (Anfa)</t>
        </is>
      </c>
      <c r="D367" t="inlineStr">
        <is>
          <t>Casablanca</t>
        </is>
      </c>
      <c r="E367" s="7" t="n">
        <v>2470000</v>
      </c>
      <c r="F367" s="8" t="n">
        <v>140</v>
      </c>
      <c r="G367" s="8" t="n"/>
      <c r="H367" s="8" t="n"/>
      <c r="I367" s="9">
        <f>IFERROR(E367/F367,"")</f>
        <v/>
      </c>
      <c r="J367" t="n">
        <v>3</v>
      </c>
      <c r="K367" t="n">
        <v>2</v>
      </c>
      <c r="P367" t="inlineStr">
        <is>
          <t>LISTED</t>
        </is>
      </c>
      <c r="S367" t="n">
        <v>33.5969308675744</v>
      </c>
      <c r="T367" t="n">
        <v>-7.643305280226521</v>
      </c>
      <c r="U367" s="7" t="n">
        <v>14210</v>
      </c>
      <c r="V367" t="inlineStr"/>
      <c r="W367" s="10" t="inlineStr">
        <is>
          <t>https://yakeey.com/fr-ma/achat/biens/180421</t>
        </is>
      </c>
    </row>
    <row r="368">
      <c r="A368" s="2" t="inlineStr">
        <is>
          <t>180553</t>
        </is>
      </c>
      <c r="B368" s="2" t="inlineStr">
        <is>
          <t>APARTMENT</t>
        </is>
      </c>
      <c r="C368" s="2" t="inlineStr">
        <is>
          <t>Palmier (Maarif)</t>
        </is>
      </c>
      <c r="D368" s="2" t="inlineStr">
        <is>
          <t>Casablanca</t>
        </is>
      </c>
      <c r="E368" s="3" t="n">
        <v>1000000</v>
      </c>
      <c r="F368" s="4" t="n">
        <v>111</v>
      </c>
      <c r="G368" s="4" t="n"/>
      <c r="H368" s="4" t="n"/>
      <c r="I368" s="5">
        <f>IFERROR(E368/F368,"")</f>
        <v/>
      </c>
      <c r="J368" s="2" t="n">
        <v>2</v>
      </c>
      <c r="K368" s="2" t="n">
        <v>1</v>
      </c>
      <c r="L368" s="2" t="n"/>
      <c r="M368" s="2" t="n"/>
      <c r="N368" s="2" t="n"/>
      <c r="O368" s="2" t="n"/>
      <c r="P368" s="2" t="inlineStr">
        <is>
          <t>LISTED</t>
        </is>
      </c>
      <c r="Q368" s="2" t="n"/>
      <c r="R368" s="2" t="n"/>
      <c r="S368" s="2" t="n">
        <v>33.57935344190565</v>
      </c>
      <c r="T368" s="2" t="n">
        <v>-7.628398665579665</v>
      </c>
      <c r="U368" s="3" t="n">
        <v>5753</v>
      </c>
      <c r="V368" s="2" t="inlineStr"/>
      <c r="W368" s="6" t="inlineStr">
        <is>
          <t>https://yakeey.com/fr-ma/achat/biens/180553</t>
        </is>
      </c>
    </row>
    <row r="369">
      <c r="A369" t="inlineStr">
        <is>
          <t>180595</t>
        </is>
      </c>
      <c r="B369" t="inlineStr">
        <is>
          <t>APARTMENT</t>
        </is>
      </c>
      <c r="C369" t="inlineStr">
        <is>
          <t>Sidi Moumen</t>
        </is>
      </c>
      <c r="D369" t="inlineStr">
        <is>
          <t>Casablanca</t>
        </is>
      </c>
      <c r="E369" s="7" t="n">
        <v>650000</v>
      </c>
      <c r="F369" s="8" t="n">
        <v>72</v>
      </c>
      <c r="G369" s="8" t="n"/>
      <c r="H369" s="8" t="n"/>
      <c r="I369" s="9">
        <f>IFERROR(E369/F369,"")</f>
        <v/>
      </c>
      <c r="J369" t="n">
        <v>2</v>
      </c>
      <c r="K369" t="n">
        <v>2</v>
      </c>
      <c r="P369" t="inlineStr">
        <is>
          <t>LISTED</t>
        </is>
      </c>
      <c r="S369" t="n">
        <v>33.59439511080382</v>
      </c>
      <c r="T369" t="n">
        <v>-7.506701721590717</v>
      </c>
      <c r="U369" s="7" t="n">
        <v>3739</v>
      </c>
      <c r="V369" t="inlineStr"/>
      <c r="W369" s="10" t="inlineStr">
        <is>
          <t>https://yakeey.com/fr-ma/achat/biens/180595</t>
        </is>
      </c>
    </row>
    <row r="370">
      <c r="A370" s="2" t="inlineStr">
        <is>
          <t>180636</t>
        </is>
      </c>
      <c r="B370" s="2" t="inlineStr">
        <is>
          <t>APARTMENT</t>
        </is>
      </c>
      <c r="C370" s="2" t="inlineStr">
        <is>
          <t>Belvedere (Roches Noires)</t>
        </is>
      </c>
      <c r="D370" s="2" t="inlineStr">
        <is>
          <t>Casablanca</t>
        </is>
      </c>
      <c r="E370" s="3" t="n">
        <v>1480000</v>
      </c>
      <c r="F370" s="4" t="n">
        <v>123</v>
      </c>
      <c r="G370" s="4" t="n"/>
      <c r="H370" s="4" t="n"/>
      <c r="I370" s="5">
        <f>IFERROR(E370/F370,"")</f>
        <v/>
      </c>
      <c r="J370" s="2" t="n">
        <v>3</v>
      </c>
      <c r="K370" s="2" t="n">
        <v>2</v>
      </c>
      <c r="L370" s="2" t="n"/>
      <c r="M370" s="2" t="n"/>
      <c r="N370" s="2" t="n"/>
      <c r="O370" s="2" t="n"/>
      <c r="P370" s="2" t="inlineStr">
        <is>
          <t>LISTED</t>
        </is>
      </c>
      <c r="Q370" s="2" t="n"/>
      <c r="R370" s="2" t="n"/>
      <c r="S370" s="2" t="n">
        <v>33.58560530036936</v>
      </c>
      <c r="T370" s="2" t="n">
        <v>-7.596598778780103</v>
      </c>
      <c r="U370" s="3" t="n">
        <v>8514</v>
      </c>
      <c r="V370" s="2" t="inlineStr"/>
      <c r="W370" s="6" t="inlineStr">
        <is>
          <t>https://yakeey.com/fr-ma/achat/biens/180636</t>
        </is>
      </c>
    </row>
    <row r="371">
      <c r="A371" t="inlineStr">
        <is>
          <t>180722</t>
        </is>
      </c>
      <c r="B371" t="inlineStr">
        <is>
          <t>APARTMENT</t>
        </is>
      </c>
      <c r="C371" t="inlineStr">
        <is>
          <t>Bourgogne (Sidi Belyout)</t>
        </is>
      </c>
      <c r="D371" t="inlineStr">
        <is>
          <t>Casablanca</t>
        </is>
      </c>
      <c r="E371" s="7" t="n">
        <v>1600000</v>
      </c>
      <c r="F371" s="8" t="n">
        <v>113</v>
      </c>
      <c r="G371" s="8" t="n"/>
      <c r="H371" s="8" t="n"/>
      <c r="I371" s="9">
        <f>IFERROR(E371/F371,"")</f>
        <v/>
      </c>
      <c r="J371" t="n">
        <v>3</v>
      </c>
      <c r="K371" t="n">
        <v>2</v>
      </c>
      <c r="P371" t="inlineStr">
        <is>
          <t>LISTED</t>
        </is>
      </c>
      <c r="S371" t="n">
        <v>33.60485900422439</v>
      </c>
      <c r="T371" t="n">
        <v>-7.632580297372021</v>
      </c>
      <c r="U371" s="7" t="n">
        <v>9204</v>
      </c>
      <c r="V371" t="inlineStr"/>
      <c r="W371" s="10" t="inlineStr">
        <is>
          <t>https://yakeey.com/fr-ma/achat/biens/180722</t>
        </is>
      </c>
    </row>
    <row r="372">
      <c r="A372" s="2" t="inlineStr">
        <is>
          <t>180763</t>
        </is>
      </c>
      <c r="B372" s="2" t="inlineStr">
        <is>
          <t>APARTMENT</t>
        </is>
      </c>
      <c r="C372" s="2" t="inlineStr">
        <is>
          <t>Sindibad</t>
        </is>
      </c>
      <c r="D372" s="2" t="inlineStr">
        <is>
          <t>Casablanca</t>
        </is>
      </c>
      <c r="E372" s="3" t="n">
        <v>4900000</v>
      </c>
      <c r="F372" s="4" t="n">
        <v>185</v>
      </c>
      <c r="G372" s="4" t="n"/>
      <c r="H372" s="4" t="n"/>
      <c r="I372" s="5">
        <f>IFERROR(E372/F372,"")</f>
        <v/>
      </c>
      <c r="J372" s="2" t="n">
        <v>3</v>
      </c>
      <c r="K372" s="2" t="n">
        <v>2</v>
      </c>
      <c r="L372" s="2" t="n"/>
      <c r="M372" s="2" t="n"/>
      <c r="N372" s="2" t="n"/>
      <c r="O372" s="2" t="n"/>
      <c r="P372" s="2" t="inlineStr">
        <is>
          <t>LISTED</t>
        </is>
      </c>
      <c r="Q372" s="2" t="n"/>
      <c r="R372" s="2" t="n"/>
      <c r="S372" s="2" t="n">
        <v>33.58204209255469</v>
      </c>
      <c r="T372" s="2" t="n">
        <v>-7.683468782222553</v>
      </c>
      <c r="U372" s="3" t="n">
        <v>28189</v>
      </c>
      <c r="V372" s="2" t="inlineStr"/>
      <c r="W372" s="6" t="inlineStr">
        <is>
          <t>https://yakeey.com/fr-ma/achat/biens/180763</t>
        </is>
      </c>
    </row>
    <row r="373">
      <c r="A373" t="inlineStr">
        <is>
          <t>180775</t>
        </is>
      </c>
      <c r="B373" t="inlineStr">
        <is>
          <t>APARTMENT</t>
        </is>
      </c>
      <c r="C373" t="inlineStr">
        <is>
          <t>Racine</t>
        </is>
      </c>
      <c r="D373" t="inlineStr">
        <is>
          <t>Casablanca</t>
        </is>
      </c>
      <c r="E373" s="7" t="n">
        <v>3950000</v>
      </c>
      <c r="F373" s="8" t="n">
        <v>185</v>
      </c>
      <c r="G373" s="8" t="n"/>
      <c r="H373" s="8" t="n"/>
      <c r="I373" s="9">
        <f>IFERROR(E373/F373,"")</f>
        <v/>
      </c>
      <c r="J373" t="n">
        <v>3</v>
      </c>
      <c r="K373" t="n">
        <v>2</v>
      </c>
      <c r="P373" t="inlineStr">
        <is>
          <t>LISTED</t>
        </is>
      </c>
      <c r="S373" t="n">
        <v>33.59001479957228</v>
      </c>
      <c r="T373" t="n">
        <v>-7.637819066337594</v>
      </c>
      <c r="U373" s="7" t="n">
        <v>22724</v>
      </c>
      <c r="V373" t="inlineStr"/>
      <c r="W373" s="10" t="inlineStr">
        <is>
          <t>https://yakeey.com/fr-ma/achat/biens/180775</t>
        </is>
      </c>
    </row>
    <row r="374">
      <c r="A374" s="2" t="inlineStr">
        <is>
          <t>180997</t>
        </is>
      </c>
      <c r="B374" s="2" t="inlineStr">
        <is>
          <t>APARTMENT</t>
        </is>
      </c>
      <c r="C374" s="2" t="inlineStr">
        <is>
          <t>Gauthier</t>
        </is>
      </c>
      <c r="D374" s="2" t="inlineStr">
        <is>
          <t>Casablanca</t>
        </is>
      </c>
      <c r="E374" s="3" t="n">
        <v>4000000</v>
      </c>
      <c r="F374" s="4" t="n">
        <v>224</v>
      </c>
      <c r="G374" s="4" t="n"/>
      <c r="H374" s="4" t="n"/>
      <c r="I374" s="5">
        <f>IFERROR(E374/F374,"")</f>
        <v/>
      </c>
      <c r="J374" s="2" t="n">
        <v>4</v>
      </c>
      <c r="K374" s="2" t="n">
        <v>3</v>
      </c>
      <c r="L374" s="2" t="n"/>
      <c r="M374" s="2" t="n"/>
      <c r="N374" s="2" t="n"/>
      <c r="O374" s="2" t="n"/>
      <c r="P374" s="2" t="inlineStr">
        <is>
          <t>LISTED</t>
        </is>
      </c>
      <c r="Q374" s="2" t="n"/>
      <c r="R374" s="2" t="n"/>
      <c r="S374" s="2" t="n">
        <v>33.59021661751731</v>
      </c>
      <c r="T374" s="2" t="n">
        <v>-7.629832082031355</v>
      </c>
      <c r="U374" s="3" t="n">
        <v>23012</v>
      </c>
      <c r="V374" s="2" t="inlineStr"/>
      <c r="W374" s="6" t="inlineStr">
        <is>
          <t>https://yakeey.com/fr-ma/achat/biens/180997</t>
        </is>
      </c>
    </row>
    <row r="375">
      <c r="A375" t="inlineStr">
        <is>
          <t>181262</t>
        </is>
      </c>
      <c r="B375" t="inlineStr">
        <is>
          <t>APARTMENT</t>
        </is>
      </c>
      <c r="C375" t="inlineStr">
        <is>
          <t>La Gironde</t>
        </is>
      </c>
      <c r="D375" t="inlineStr">
        <is>
          <t>Casablanca</t>
        </is>
      </c>
      <c r="E375" s="7" t="n">
        <v>1350000</v>
      </c>
      <c r="F375" s="8" t="n">
        <v>116</v>
      </c>
      <c r="G375" s="8" t="n"/>
      <c r="H375" s="8" t="n"/>
      <c r="I375" s="9">
        <f>IFERROR(E375/F375,"")</f>
        <v/>
      </c>
      <c r="J375" t="n">
        <v>2</v>
      </c>
      <c r="K375" t="n">
        <v>1</v>
      </c>
      <c r="P375" t="inlineStr">
        <is>
          <t>LISTED</t>
        </is>
      </c>
      <c r="S375" t="n">
        <v>33.5786962297916</v>
      </c>
      <c r="T375" t="n">
        <v>-7.594275767139989</v>
      </c>
      <c r="U375" s="7" t="n">
        <v>7766</v>
      </c>
      <c r="V375" t="inlineStr"/>
      <c r="W375" s="10" t="inlineStr">
        <is>
          <t>https://yakeey.com/fr-ma/achat/biens/181262</t>
        </is>
      </c>
    </row>
    <row r="376">
      <c r="A376" s="2" t="inlineStr">
        <is>
          <t>181635</t>
        </is>
      </c>
      <c r="B376" s="2" t="inlineStr">
        <is>
          <t>APARTMENT</t>
        </is>
      </c>
      <c r="C376" s="2" t="inlineStr">
        <is>
          <t>Derb Ghalef</t>
        </is>
      </c>
      <c r="D376" s="2" t="inlineStr">
        <is>
          <t>Casablanca</t>
        </is>
      </c>
      <c r="E376" s="3" t="n">
        <v>1450000</v>
      </c>
      <c r="F376" s="4" t="n">
        <v>113</v>
      </c>
      <c r="G376" s="4" t="n"/>
      <c r="H376" s="4" t="n"/>
      <c r="I376" s="5">
        <f>IFERROR(E376/F376,"")</f>
        <v/>
      </c>
      <c r="J376" s="2" t="n">
        <v>3</v>
      </c>
      <c r="K376" s="2" t="n">
        <v>1</v>
      </c>
      <c r="L376" s="2" t="n"/>
      <c r="M376" s="2" t="n"/>
      <c r="N376" s="2" t="n"/>
      <c r="O376" s="2" t="n"/>
      <c r="P376" s="2" t="inlineStr">
        <is>
          <t>LISTED</t>
        </is>
      </c>
      <c r="Q376" s="2" t="n"/>
      <c r="R376" s="2" t="n"/>
      <c r="S376" s="2" t="n">
        <v>33.57198602486645</v>
      </c>
      <c r="T376" s="2" t="n">
        <v>-7.63138600569157</v>
      </c>
      <c r="U376" s="3" t="n">
        <v>8341</v>
      </c>
      <c r="V376" s="2" t="inlineStr"/>
      <c r="W376" s="6" t="inlineStr">
        <is>
          <t>https://yakeey.com/fr-ma/achat/biens/181635</t>
        </is>
      </c>
    </row>
    <row r="377">
      <c r="A377" t="inlineStr">
        <is>
          <t>181748</t>
        </is>
      </c>
      <c r="B377" t="inlineStr">
        <is>
          <t>APARTMENT</t>
        </is>
      </c>
      <c r="C377" t="inlineStr">
        <is>
          <t>Hopitaux</t>
        </is>
      </c>
      <c r="D377" t="inlineStr">
        <is>
          <t>Casablanca</t>
        </is>
      </c>
      <c r="E377" s="7" t="n">
        <v>1450000</v>
      </c>
      <c r="F377" s="8" t="n">
        <v>119</v>
      </c>
      <c r="G377" s="8" t="n"/>
      <c r="H377" s="8" t="n"/>
      <c r="I377" s="9">
        <f>IFERROR(E377/F377,"")</f>
        <v/>
      </c>
      <c r="J377" t="n">
        <v>3</v>
      </c>
      <c r="K377" t="n">
        <v>2</v>
      </c>
      <c r="P377" t="inlineStr">
        <is>
          <t>LISTED</t>
        </is>
      </c>
      <c r="S377" t="n">
        <v>33.57462250657311</v>
      </c>
      <c r="T377" t="n">
        <v>-7.617594778572054</v>
      </c>
      <c r="U377" s="7" t="n">
        <v>8341</v>
      </c>
      <c r="V377" t="inlineStr"/>
      <c r="W377" s="10" t="inlineStr">
        <is>
          <t>https://yakeey.com/fr-ma/achat/biens/181748</t>
        </is>
      </c>
    </row>
    <row r="378">
      <c r="A378" s="2" t="inlineStr">
        <is>
          <t>181750</t>
        </is>
      </c>
      <c r="B378" s="2" t="inlineStr">
        <is>
          <t>APARTMENT</t>
        </is>
      </c>
      <c r="C378" s="2" t="inlineStr">
        <is>
          <t>Gauthier</t>
        </is>
      </c>
      <c r="D378" s="2" t="inlineStr">
        <is>
          <t>Casablanca</t>
        </is>
      </c>
      <c r="E378" s="3" t="n">
        <v>2200000</v>
      </c>
      <c r="F378" s="4" t="n">
        <v>98</v>
      </c>
      <c r="G378" s="4" t="n"/>
      <c r="H378" s="4" t="n"/>
      <c r="I378" s="5">
        <f>IFERROR(E378/F378,"")</f>
        <v/>
      </c>
      <c r="J378" s="2" t="n">
        <v>2</v>
      </c>
      <c r="K378" s="2" t="n">
        <v>1</v>
      </c>
      <c r="L378" s="2" t="n"/>
      <c r="M378" s="2" t="n"/>
      <c r="N378" s="2" t="n"/>
      <c r="O378" s="2" t="n"/>
      <c r="P378" s="2" t="inlineStr">
        <is>
          <t>LISTED</t>
        </is>
      </c>
      <c r="Q378" s="2" t="n"/>
      <c r="R378" s="2" t="n"/>
      <c r="S378" s="2" t="n">
        <v>33.59035566380474</v>
      </c>
      <c r="T378" s="2" t="n">
        <v>-7.631298778486999</v>
      </c>
      <c r="U378" s="3" t="n">
        <v>12656</v>
      </c>
      <c r="V378" s="2" t="inlineStr"/>
      <c r="W378" s="6" t="inlineStr">
        <is>
          <t>https://yakeey.com/fr-ma/achat/biens/181750</t>
        </is>
      </c>
    </row>
    <row r="379">
      <c r="A379" t="inlineStr">
        <is>
          <t>181756</t>
        </is>
      </c>
      <c r="B379" t="inlineStr">
        <is>
          <t>APARTMENT</t>
        </is>
      </c>
      <c r="C379" t="inlineStr">
        <is>
          <t>Bachkou</t>
        </is>
      </c>
      <c r="D379" t="inlineStr">
        <is>
          <t>Casablanca</t>
        </is>
      </c>
      <c r="E379" s="7" t="n">
        <v>1700000</v>
      </c>
      <c r="F379" s="8" t="n">
        <v>109</v>
      </c>
      <c r="G379" s="8" t="n"/>
      <c r="H379" s="8" t="n"/>
      <c r="I379" s="9">
        <f>IFERROR(E379/F379,"")</f>
        <v/>
      </c>
      <c r="J379" t="n">
        <v>3</v>
      </c>
      <c r="K379" t="n">
        <v>2</v>
      </c>
      <c r="P379" t="inlineStr">
        <is>
          <t>LISTED</t>
        </is>
      </c>
      <c r="S379" t="n">
        <v>33.55444967682683</v>
      </c>
      <c r="T379" t="n">
        <v>-7.632052568489939</v>
      </c>
      <c r="U379" s="7" t="n">
        <v>9780</v>
      </c>
      <c r="V379" t="inlineStr"/>
      <c r="W379" s="10" t="inlineStr">
        <is>
          <t>https://yakeey.com/fr-ma/achat/biens/181756</t>
        </is>
      </c>
    </row>
    <row r="380">
      <c r="A380" s="2" t="inlineStr">
        <is>
          <t>181780</t>
        </is>
      </c>
      <c r="B380" s="2" t="inlineStr">
        <is>
          <t>APARTMENT</t>
        </is>
      </c>
      <c r="C380" s="2" t="inlineStr">
        <is>
          <t>Lissasfa</t>
        </is>
      </c>
      <c r="D380" s="2" t="inlineStr">
        <is>
          <t>Casablanca</t>
        </is>
      </c>
      <c r="E380" s="3" t="n">
        <v>560000</v>
      </c>
      <c r="F380" s="4" t="n">
        <v>59</v>
      </c>
      <c r="G380" s="4" t="n"/>
      <c r="H380" s="4" t="n"/>
      <c r="I380" s="5">
        <f>IFERROR(E380/F380,"")</f>
        <v/>
      </c>
      <c r="J380" s="2" t="n">
        <v>2</v>
      </c>
      <c r="K380" s="2" t="n">
        <v>1</v>
      </c>
      <c r="L380" s="2" t="n"/>
      <c r="M380" s="2" t="n"/>
      <c r="N380" s="2" t="n"/>
      <c r="O380" s="2" t="n"/>
      <c r="P380" s="2" t="inlineStr">
        <is>
          <t>LISTED</t>
        </is>
      </c>
      <c r="Q380" s="2" t="n"/>
      <c r="R380" s="2" t="n"/>
      <c r="S380" s="2" t="n">
        <v>33.53788903889964</v>
      </c>
      <c r="T380" s="2" t="n">
        <v>-7.681424196998597</v>
      </c>
      <c r="U380" s="3" t="n">
        <v>3221</v>
      </c>
      <c r="V380" s="2" t="inlineStr"/>
      <c r="W380" s="6" t="inlineStr">
        <is>
          <t>https://yakeey.com/fr-ma/achat/biens/181780</t>
        </is>
      </c>
    </row>
    <row r="381">
      <c r="A381" t="inlineStr">
        <is>
          <t>181833</t>
        </is>
      </c>
      <c r="B381" t="inlineStr">
        <is>
          <t>APARTMENT</t>
        </is>
      </c>
      <c r="C381" t="inlineStr">
        <is>
          <t>Roches Noires</t>
        </is>
      </c>
      <c r="D381" t="inlineStr">
        <is>
          <t>Casablanca</t>
        </is>
      </c>
      <c r="E381" s="7" t="n">
        <v>1010000</v>
      </c>
      <c r="F381" s="8" t="n">
        <v>103</v>
      </c>
      <c r="G381" s="8" t="n"/>
      <c r="H381" s="8" t="n"/>
      <c r="I381" s="9">
        <f>IFERROR(E381/F381,"")</f>
        <v/>
      </c>
      <c r="J381" t="n">
        <v>2</v>
      </c>
      <c r="K381" t="n">
        <v>1</v>
      </c>
      <c r="P381" t="inlineStr">
        <is>
          <t>LISTED</t>
        </is>
      </c>
      <c r="S381" t="n">
        <v>33.59944396640896</v>
      </c>
      <c r="T381" t="n">
        <v>-7.579510422884353</v>
      </c>
      <c r="U381" s="7" t="n">
        <v>5810</v>
      </c>
      <c r="V381" t="inlineStr"/>
      <c r="W381" s="10" t="inlineStr">
        <is>
          <t>https://yakeey.com/fr-ma/achat/biens/181833</t>
        </is>
      </c>
    </row>
    <row r="382">
      <c r="A382" s="2" t="inlineStr">
        <is>
          <t>181837</t>
        </is>
      </c>
      <c r="B382" s="2" t="inlineStr">
        <is>
          <t>APARTMENT</t>
        </is>
      </c>
      <c r="C382" s="2" t="inlineStr">
        <is>
          <t>Derb Omar</t>
        </is>
      </c>
      <c r="D382" s="2" t="inlineStr">
        <is>
          <t>Casablanca</t>
        </is>
      </c>
      <c r="E382" s="3" t="n">
        <v>1149500</v>
      </c>
      <c r="F382" s="4" t="n">
        <v>119</v>
      </c>
      <c r="G382" s="4" t="n"/>
      <c r="H382" s="4" t="n"/>
      <c r="I382" s="5">
        <f>IFERROR(E382/F382,"")</f>
        <v/>
      </c>
      <c r="J382" s="2" t="n">
        <v>3</v>
      </c>
      <c r="K382" s="2" t="n">
        <v>2</v>
      </c>
      <c r="L382" s="2" t="n"/>
      <c r="M382" s="2" t="n"/>
      <c r="N382" s="2" t="n"/>
      <c r="O382" s="2" t="n"/>
      <c r="P382" s="2" t="inlineStr">
        <is>
          <t>LISTED</t>
        </is>
      </c>
      <c r="Q382" s="2" t="n"/>
      <c r="R382" s="2" t="n"/>
      <c r="S382" s="2" t="n">
        <v>33.59008623365273</v>
      </c>
      <c r="T382" s="2" t="n">
        <v>-7.608437021494121</v>
      </c>
      <c r="U382" s="3" t="n">
        <v>6613</v>
      </c>
      <c r="V382" s="2" t="inlineStr"/>
      <c r="W382" s="6" t="inlineStr">
        <is>
          <t>https://yakeey.com/fr-ma/achat/biens/181837</t>
        </is>
      </c>
    </row>
    <row r="383">
      <c r="A383" t="inlineStr">
        <is>
          <t>181851</t>
        </is>
      </c>
      <c r="B383" t="inlineStr">
        <is>
          <t>APARTMENT</t>
        </is>
      </c>
      <c r="C383" t="inlineStr">
        <is>
          <t>Val Fleuri</t>
        </is>
      </c>
      <c r="D383" t="inlineStr">
        <is>
          <t>Casablanca</t>
        </is>
      </c>
      <c r="E383" s="7" t="n">
        <v>1380000</v>
      </c>
      <c r="F383" s="8" t="n">
        <v>117</v>
      </c>
      <c r="G383" s="8" t="n"/>
      <c r="H383" s="8" t="n"/>
      <c r="I383" s="9">
        <f>IFERROR(E383/F383,"")</f>
        <v/>
      </c>
      <c r="J383" t="n">
        <v>2</v>
      </c>
      <c r="K383" t="n">
        <v>2</v>
      </c>
      <c r="P383" t="inlineStr">
        <is>
          <t>LISTED</t>
        </is>
      </c>
      <c r="S383" t="n">
        <v>33.57369891634026</v>
      </c>
      <c r="T383" t="n">
        <v>-7.636526799472723</v>
      </c>
      <c r="U383" s="7" t="n">
        <v>7939</v>
      </c>
      <c r="V383" t="inlineStr"/>
      <c r="W383" s="10" t="inlineStr">
        <is>
          <t>https://yakeey.com/fr-ma/achat/biens/181851</t>
        </is>
      </c>
    </row>
    <row r="384">
      <c r="A384" s="2" t="inlineStr">
        <is>
          <t>181853</t>
        </is>
      </c>
      <c r="B384" s="2" t="inlineStr">
        <is>
          <t>APARTMENT</t>
        </is>
      </c>
      <c r="C384" s="2" t="inlineStr">
        <is>
          <t>Bourgogne (Anfa)</t>
        </is>
      </c>
      <c r="D384" s="2" t="inlineStr">
        <is>
          <t>Casablanca</t>
        </is>
      </c>
      <c r="E384" s="3" t="n">
        <v>1300000</v>
      </c>
      <c r="F384" s="4" t="n">
        <v>101</v>
      </c>
      <c r="G384" s="4" t="n"/>
      <c r="H384" s="4" t="n"/>
      <c r="I384" s="5">
        <f>IFERROR(E384/F384,"")</f>
        <v/>
      </c>
      <c r="J384" s="2" t="n">
        <v>2</v>
      </c>
      <c r="K384" s="2" t="n">
        <v>2</v>
      </c>
      <c r="L384" s="2" t="n"/>
      <c r="M384" s="2" t="n"/>
      <c r="N384" s="2" t="n"/>
      <c r="O384" s="2" t="n"/>
      <c r="P384" s="2" t="inlineStr">
        <is>
          <t>LISTED</t>
        </is>
      </c>
      <c r="Q384" s="2" t="n"/>
      <c r="R384" s="2" t="n"/>
      <c r="S384" s="2" t="n">
        <v>33.59518416321474</v>
      </c>
      <c r="T384" s="2" t="n">
        <v>-7.64070641222246</v>
      </c>
      <c r="U384" s="3" t="n">
        <v>7478</v>
      </c>
      <c r="V384" s="2" t="inlineStr"/>
      <c r="W384" s="6" t="inlineStr">
        <is>
          <t>https://yakeey.com/fr-ma/achat/biens/181853</t>
        </is>
      </c>
    </row>
    <row r="385">
      <c r="A385" t="inlineStr">
        <is>
          <t>181895</t>
        </is>
      </c>
      <c r="B385" t="inlineStr">
        <is>
          <t>APARTMENT</t>
        </is>
      </c>
      <c r="C385" t="inlineStr">
        <is>
          <t>Hopitaux</t>
        </is>
      </c>
      <c r="D385" t="inlineStr">
        <is>
          <t>Casablanca</t>
        </is>
      </c>
      <c r="E385" s="7" t="n">
        <v>1880000</v>
      </c>
      <c r="F385" s="8" t="n">
        <v>113</v>
      </c>
      <c r="G385" s="8" t="n"/>
      <c r="H385" s="8" t="n"/>
      <c r="I385" s="9">
        <f>IFERROR(E385/F385,"")</f>
        <v/>
      </c>
      <c r="J385" t="n">
        <v>2</v>
      </c>
      <c r="K385" t="n">
        <v>2</v>
      </c>
      <c r="P385" t="inlineStr">
        <is>
          <t>LISTED</t>
        </is>
      </c>
      <c r="S385" t="n">
        <v>33.57463865328091</v>
      </c>
      <c r="T385" t="n">
        <v>-7.614831965259606</v>
      </c>
      <c r="U385" s="7" t="n">
        <v>10815</v>
      </c>
      <c r="V385" t="inlineStr"/>
      <c r="W385" s="10" t="inlineStr">
        <is>
          <t>https://yakeey.com/fr-ma/achat/biens/181895</t>
        </is>
      </c>
    </row>
    <row r="386">
      <c r="A386" s="2" t="inlineStr">
        <is>
          <t>181928</t>
        </is>
      </c>
      <c r="B386" s="2" t="inlineStr">
        <is>
          <t>APARTMENT</t>
        </is>
      </c>
      <c r="C386" s="2" t="inlineStr">
        <is>
          <t>Mers Sultan</t>
        </is>
      </c>
      <c r="D386" s="2" t="inlineStr">
        <is>
          <t>Casablanca</t>
        </is>
      </c>
      <c r="E386" s="3" t="n">
        <v>1800000</v>
      </c>
      <c r="F386" s="4" t="n">
        <v>155</v>
      </c>
      <c r="G386" s="4" t="n"/>
      <c r="H386" s="4" t="n"/>
      <c r="I386" s="5">
        <f>IFERROR(E386/F386,"")</f>
        <v/>
      </c>
      <c r="J386" s="2" t="n">
        <v>3</v>
      </c>
      <c r="K386" s="2" t="n">
        <v>1</v>
      </c>
      <c r="L386" s="2" t="n"/>
      <c r="M386" s="2" t="n"/>
      <c r="N386" s="2" t="n"/>
      <c r="O386" s="2" t="n"/>
      <c r="P386" s="2" t="inlineStr">
        <is>
          <t>LISTED</t>
        </is>
      </c>
      <c r="Q386" s="2" t="n"/>
      <c r="R386" s="2" t="n"/>
      <c r="S386" s="2" t="n">
        <v>33.57744816575831</v>
      </c>
      <c r="T386" s="2" t="n">
        <v>-7.5991075307529</v>
      </c>
      <c r="U386" s="3" t="n">
        <v>10355</v>
      </c>
      <c r="V386" s="2" t="inlineStr"/>
      <c r="W386" s="6" t="inlineStr">
        <is>
          <t>https://yakeey.com/fr-ma/achat/biens/181928</t>
        </is>
      </c>
    </row>
    <row r="387">
      <c r="A387" t="inlineStr">
        <is>
          <t>181942</t>
        </is>
      </c>
      <c r="B387" t="inlineStr">
        <is>
          <t>APARTMENT</t>
        </is>
      </c>
      <c r="C387" t="inlineStr">
        <is>
          <t>Bourgogne (Anfa)</t>
        </is>
      </c>
      <c r="D387" t="inlineStr">
        <is>
          <t>Casablanca</t>
        </is>
      </c>
      <c r="E387" s="7" t="n">
        <v>1800000</v>
      </c>
      <c r="F387" s="8" t="n">
        <v>149</v>
      </c>
      <c r="G387" s="8" t="n"/>
      <c r="H387" s="8" t="n"/>
      <c r="I387" s="9">
        <f>IFERROR(E387/F387,"")</f>
        <v/>
      </c>
      <c r="J387" t="n">
        <v>2</v>
      </c>
      <c r="K387" t="n">
        <v>1</v>
      </c>
      <c r="P387" t="inlineStr">
        <is>
          <t>LISTED</t>
        </is>
      </c>
      <c r="S387" t="n">
        <v>33.59668163755646</v>
      </c>
      <c r="T387" t="n">
        <v>-7.647713325247065</v>
      </c>
      <c r="U387" s="7" t="n">
        <v>10355</v>
      </c>
      <c r="V387" t="inlineStr"/>
      <c r="W387" s="10" t="inlineStr">
        <is>
          <t>https://yakeey.com/fr-ma/achat/biens/181942</t>
        </is>
      </c>
    </row>
    <row r="388">
      <c r="A388" s="2" t="inlineStr">
        <is>
          <t>182092</t>
        </is>
      </c>
      <c r="B388" s="2" t="inlineStr">
        <is>
          <t>APARTMENT</t>
        </is>
      </c>
      <c r="C388" s="2" t="inlineStr">
        <is>
          <t>Ferme Bretonne</t>
        </is>
      </c>
      <c r="D388" s="2" t="inlineStr">
        <is>
          <t>Casablanca</t>
        </is>
      </c>
      <c r="E388" s="3" t="n">
        <v>1950000</v>
      </c>
      <c r="F388" s="4" t="n">
        <v>120</v>
      </c>
      <c r="G388" s="4" t="n"/>
      <c r="H388" s="4" t="n"/>
      <c r="I388" s="5">
        <f>IFERROR(E388/F388,"")</f>
        <v/>
      </c>
      <c r="J388" s="2" t="n">
        <v>2</v>
      </c>
      <c r="K388" s="2" t="n">
        <v>2</v>
      </c>
      <c r="L388" s="2" t="n"/>
      <c r="M388" s="2" t="n"/>
      <c r="N388" s="2" t="n"/>
      <c r="O388" s="2" t="n"/>
      <c r="P388" s="2" t="inlineStr">
        <is>
          <t>LISTED</t>
        </is>
      </c>
      <c r="Q388" s="2" t="n"/>
      <c r="R388" s="2" t="n"/>
      <c r="S388" s="2" t="n">
        <v>33.56569521688478</v>
      </c>
      <c r="T388" s="2" t="n">
        <v>-7.646644727091576</v>
      </c>
      <c r="U388" s="3" t="n">
        <v>11218</v>
      </c>
      <c r="V388" s="2" t="inlineStr"/>
      <c r="W388" s="6" t="inlineStr">
        <is>
          <t>https://yakeey.com/fr-ma/achat/biens/182092</t>
        </is>
      </c>
    </row>
    <row r="389">
      <c r="A389" t="inlineStr">
        <is>
          <t>182174</t>
        </is>
      </c>
      <c r="B389" t="inlineStr">
        <is>
          <t>APARTMENT</t>
        </is>
      </c>
      <c r="C389" t="inlineStr">
        <is>
          <t>Mandarouna</t>
        </is>
      </c>
      <c r="D389" t="inlineStr">
        <is>
          <t>Casablanca</t>
        </is>
      </c>
      <c r="E389" s="7" t="n">
        <v>2400000</v>
      </c>
      <c r="F389" s="8" t="n">
        <v>198</v>
      </c>
      <c r="G389" s="8" t="n"/>
      <c r="H389" s="8" t="n"/>
      <c r="I389" s="9">
        <f>IFERROR(E389/F389,"")</f>
        <v/>
      </c>
      <c r="J389" t="n">
        <v>3</v>
      </c>
      <c r="K389" t="n">
        <v>2</v>
      </c>
      <c r="P389" t="inlineStr">
        <is>
          <t>LISTED</t>
        </is>
      </c>
      <c r="S389" t="n">
        <v>33.52987270668097</v>
      </c>
      <c r="T389" t="n">
        <v>-7.617901274218109</v>
      </c>
      <c r="U389" s="7" t="n">
        <v>13807</v>
      </c>
      <c r="V389" t="inlineStr"/>
      <c r="W389" s="10" t="inlineStr">
        <is>
          <t>https://yakeey.com/fr-ma/achat/biens/182174</t>
        </is>
      </c>
    </row>
    <row r="390">
      <c r="A390" s="2" t="inlineStr">
        <is>
          <t>182177</t>
        </is>
      </c>
      <c r="B390" s="2" t="inlineStr">
        <is>
          <t>APARTMENT</t>
        </is>
      </c>
      <c r="C390" s="2" t="inlineStr">
        <is>
          <t>Maarif Extension</t>
        </is>
      </c>
      <c r="D390" s="2" t="inlineStr">
        <is>
          <t>Casablanca</t>
        </is>
      </c>
      <c r="E390" s="3" t="n">
        <v>1790000</v>
      </c>
      <c r="F390" s="4" t="n">
        <v>181</v>
      </c>
      <c r="G390" s="4" t="n"/>
      <c r="H390" s="4" t="n"/>
      <c r="I390" s="5">
        <f>IFERROR(E390/F390,"")</f>
        <v/>
      </c>
      <c r="J390" s="2" t="n">
        <v>3</v>
      </c>
      <c r="K390" s="2" t="n">
        <v>2</v>
      </c>
      <c r="L390" s="2" t="n"/>
      <c r="M390" s="2" t="n"/>
      <c r="N390" s="2" t="n"/>
      <c r="O390" s="2" t="n"/>
      <c r="P390" s="2" t="inlineStr">
        <is>
          <t>LISTED</t>
        </is>
      </c>
      <c r="Q390" s="2" t="n"/>
      <c r="R390" s="2" t="n"/>
      <c r="S390" s="2" t="n">
        <v>33.57488588793801</v>
      </c>
      <c r="T390" s="2" t="n">
        <v>-7.643367628707694</v>
      </c>
      <c r="U390" s="3" t="n">
        <v>10297</v>
      </c>
      <c r="V390" s="2" t="inlineStr"/>
      <c r="W390" s="6" t="inlineStr">
        <is>
          <t>https://yakeey.com/fr-ma/achat/biens/182177</t>
        </is>
      </c>
    </row>
    <row r="391">
      <c r="A391" t="inlineStr">
        <is>
          <t>182180</t>
        </is>
      </c>
      <c r="B391" t="inlineStr">
        <is>
          <t>APARTMENT</t>
        </is>
      </c>
      <c r="C391" t="inlineStr">
        <is>
          <t>Almaz (Hay Hassani)</t>
        </is>
      </c>
      <c r="D391" t="inlineStr">
        <is>
          <t>Casablanca</t>
        </is>
      </c>
      <c r="E391" s="7" t="n">
        <v>1750000</v>
      </c>
      <c r="F391" s="8" t="n">
        <v>129</v>
      </c>
      <c r="G391" s="8" t="n"/>
      <c r="H391" s="8" t="n"/>
      <c r="I391" s="9">
        <f>IFERROR(E391/F391,"")</f>
        <v/>
      </c>
      <c r="J391" t="n">
        <v>3</v>
      </c>
      <c r="K391" t="n">
        <v>2</v>
      </c>
      <c r="P391" t="inlineStr">
        <is>
          <t>LISTED</t>
        </is>
      </c>
      <c r="S391" t="n">
        <v>33.51043937461926</v>
      </c>
      <c r="T391" t="n">
        <v>-7.678458110237565</v>
      </c>
      <c r="U391" s="7" t="n">
        <v>10067</v>
      </c>
      <c r="V391" t="inlineStr"/>
      <c r="W391" s="10" t="inlineStr">
        <is>
          <t>https://yakeey.com/fr-ma/achat/biens/182180</t>
        </is>
      </c>
    </row>
    <row r="392">
      <c r="A392" s="2" t="inlineStr">
        <is>
          <t>182181</t>
        </is>
      </c>
      <c r="B392" s="2" t="inlineStr">
        <is>
          <t>APARTMENT</t>
        </is>
      </c>
      <c r="C392" s="2" t="inlineStr">
        <is>
          <t>Triangle D'Or</t>
        </is>
      </c>
      <c r="D392" s="2" t="inlineStr">
        <is>
          <t>Casablanca</t>
        </is>
      </c>
      <c r="E392" s="3" t="n">
        <v>3500000</v>
      </c>
      <c r="F392" s="4" t="n">
        <v>155</v>
      </c>
      <c r="G392" s="4" t="n"/>
      <c r="H392" s="4" t="n"/>
      <c r="I392" s="5">
        <f>IFERROR(E392/F392,"")</f>
        <v/>
      </c>
      <c r="J392" s="2" t="n">
        <v>3</v>
      </c>
      <c r="K392" s="2" t="n">
        <v>2</v>
      </c>
      <c r="L392" s="2" t="n"/>
      <c r="M392" s="2" t="n"/>
      <c r="N392" s="2" t="n"/>
      <c r="O392" s="2" t="n"/>
      <c r="P392" s="2" t="inlineStr">
        <is>
          <t>LISTED</t>
        </is>
      </c>
      <c r="Q392" s="2" t="n"/>
      <c r="R392" s="2" t="n"/>
      <c r="S392" s="2" t="n">
        <v>33.58592180584473</v>
      </c>
      <c r="T392" s="2" t="n">
        <v>-7.639815552942531</v>
      </c>
      <c r="U392" s="3" t="n">
        <v>20135</v>
      </c>
      <c r="V392" s="2" t="inlineStr"/>
      <c r="W392" s="6" t="inlineStr">
        <is>
          <t>https://yakeey.com/fr-ma/achat/biens/182181</t>
        </is>
      </c>
    </row>
    <row r="393">
      <c r="A393" t="inlineStr">
        <is>
          <t>182269</t>
        </is>
      </c>
      <c r="B393" t="inlineStr">
        <is>
          <t>APARTMENT</t>
        </is>
      </c>
      <c r="C393" t="inlineStr">
        <is>
          <t>Mers Sultan</t>
        </is>
      </c>
      <c r="D393" t="inlineStr">
        <is>
          <t>Casablanca</t>
        </is>
      </c>
      <c r="E393" s="7" t="n">
        <v>1820000</v>
      </c>
      <c r="F393" s="8" t="n">
        <v>130</v>
      </c>
      <c r="G393" s="8" t="n"/>
      <c r="H393" s="8" t="n"/>
      <c r="I393" s="9">
        <f>IFERROR(E393/F393,"")</f>
        <v/>
      </c>
      <c r="J393" t="n">
        <v>3</v>
      </c>
      <c r="K393" t="n">
        <v>2</v>
      </c>
      <c r="P393" t="inlineStr">
        <is>
          <t>LISTED</t>
        </is>
      </c>
      <c r="S393" t="n">
        <v>33.57278515347946</v>
      </c>
      <c r="T393" t="n">
        <v>-7.612982755263498</v>
      </c>
      <c r="U393" s="7" t="n">
        <v>10470</v>
      </c>
      <c r="V393" t="inlineStr"/>
      <c r="W393" s="10" t="inlineStr">
        <is>
          <t>https://yakeey.com/fr-ma/achat/biens/182269</t>
        </is>
      </c>
    </row>
    <row r="394">
      <c r="A394" s="2" t="inlineStr">
        <is>
          <t>182281</t>
        </is>
      </c>
      <c r="B394" s="2" t="inlineStr">
        <is>
          <t>APARTMENT</t>
        </is>
      </c>
      <c r="C394" s="2" t="inlineStr">
        <is>
          <t>Californie</t>
        </is>
      </c>
      <c r="D394" s="2" t="inlineStr">
        <is>
          <t>Casablanca</t>
        </is>
      </c>
      <c r="E394" s="3" t="n">
        <v>2600000</v>
      </c>
      <c r="F394" s="4" t="n">
        <v>189</v>
      </c>
      <c r="G394" s="4" t="n"/>
      <c r="H394" s="4" t="n"/>
      <c r="I394" s="5">
        <f>IFERROR(E394/F394,"")</f>
        <v/>
      </c>
      <c r="J394" s="2" t="n">
        <v>4</v>
      </c>
      <c r="K394" s="2" t="n">
        <v>2</v>
      </c>
      <c r="L394" s="2" t="n"/>
      <c r="M394" s="2" t="n"/>
      <c r="N394" s="2" t="n"/>
      <c r="O394" s="2" t="n"/>
      <c r="P394" s="2" t="inlineStr">
        <is>
          <t>LISTED</t>
        </is>
      </c>
      <c r="Q394" s="2" t="n"/>
      <c r="R394" s="2" t="n"/>
      <c r="S394" s="2" t="n">
        <v>33.54521218025993</v>
      </c>
      <c r="T394" s="2" t="n">
        <v>-7.61612390129458</v>
      </c>
      <c r="U394" s="3" t="n">
        <v>14957</v>
      </c>
      <c r="V394" s="2" t="inlineStr"/>
      <c r="W394" s="6" t="inlineStr">
        <is>
          <t>https://yakeey.com/fr-ma/achat/biens/182281</t>
        </is>
      </c>
    </row>
    <row r="395">
      <c r="A395" t="inlineStr">
        <is>
          <t>182322</t>
        </is>
      </c>
      <c r="B395" t="inlineStr">
        <is>
          <t>APARTMENT</t>
        </is>
      </c>
      <c r="C395" t="inlineStr">
        <is>
          <t>Racine</t>
        </is>
      </c>
      <c r="D395" t="inlineStr">
        <is>
          <t>Casablanca</t>
        </is>
      </c>
      <c r="E395" s="7" t="n">
        <v>2200000</v>
      </c>
      <c r="F395" s="8" t="n">
        <v>108</v>
      </c>
      <c r="G395" s="8" t="n"/>
      <c r="H395" s="8" t="n"/>
      <c r="I395" s="9">
        <f>IFERROR(E395/F395,"")</f>
        <v/>
      </c>
      <c r="J395" t="n">
        <v>2</v>
      </c>
      <c r="K395" t="n">
        <v>2</v>
      </c>
      <c r="P395" t="inlineStr">
        <is>
          <t>LISTED</t>
        </is>
      </c>
      <c r="S395" t="n">
        <v>33.58933674020091</v>
      </c>
      <c r="T395" t="n">
        <v>-7.636384269634503</v>
      </c>
      <c r="U395" s="7" t="n">
        <v>12656</v>
      </c>
      <c r="V395" t="inlineStr"/>
      <c r="W395" s="10" t="inlineStr">
        <is>
          <t>https://yakeey.com/fr-ma/achat/biens/182322</t>
        </is>
      </c>
    </row>
    <row r="396">
      <c r="A396" s="2" t="inlineStr">
        <is>
          <t>182335</t>
        </is>
      </c>
      <c r="B396" s="2" t="inlineStr">
        <is>
          <t>APARTMENT</t>
        </is>
      </c>
      <c r="C396" s="2" t="inlineStr">
        <is>
          <t>Mandarouna</t>
        </is>
      </c>
      <c r="D396" s="2" t="inlineStr">
        <is>
          <t>Casablanca</t>
        </is>
      </c>
      <c r="E396" s="3" t="n">
        <v>1440000</v>
      </c>
      <c r="F396" s="4" t="n">
        <v>99</v>
      </c>
      <c r="G396" s="4" t="n"/>
      <c r="H396" s="4" t="n"/>
      <c r="I396" s="5">
        <f>IFERROR(E396/F396,"")</f>
        <v/>
      </c>
      <c r="J396" s="2" t="n">
        <v>2</v>
      </c>
      <c r="K396" s="2" t="n">
        <v>1</v>
      </c>
      <c r="L396" s="2" t="n"/>
      <c r="M396" s="2" t="n"/>
      <c r="N396" s="2" t="n"/>
      <c r="O396" s="2" t="n"/>
      <c r="P396" s="2" t="inlineStr">
        <is>
          <t>LISTED</t>
        </is>
      </c>
      <c r="Q396" s="2" t="n"/>
      <c r="R396" s="2" t="n"/>
      <c r="S396" s="2" t="n">
        <v>33.52982074090427</v>
      </c>
      <c r="T396" s="2" t="n">
        <v>-7.616219210014106</v>
      </c>
      <c r="U396" s="3" t="n">
        <v>8284</v>
      </c>
      <c r="V396" s="2" t="inlineStr"/>
      <c r="W396" s="6" t="inlineStr">
        <is>
          <t>https://yakeey.com/fr-ma/achat/biens/182335</t>
        </is>
      </c>
    </row>
    <row r="397">
      <c r="A397" t="inlineStr">
        <is>
          <t>182339</t>
        </is>
      </c>
      <c r="B397" t="inlineStr">
        <is>
          <t>APARTMENT</t>
        </is>
      </c>
      <c r="C397" t="inlineStr">
        <is>
          <t>Mandarouna</t>
        </is>
      </c>
      <c r="D397" t="inlineStr">
        <is>
          <t>Casablanca</t>
        </is>
      </c>
      <c r="E397" s="7" t="n">
        <v>2100000</v>
      </c>
      <c r="F397" s="8" t="n">
        <v>141</v>
      </c>
      <c r="G397" s="8" t="n"/>
      <c r="H397" s="8" t="n"/>
      <c r="I397" s="9">
        <f>IFERROR(E397/F397,"")</f>
        <v/>
      </c>
      <c r="J397" t="n">
        <v>3</v>
      </c>
      <c r="K397" t="n">
        <v>2</v>
      </c>
      <c r="P397" t="inlineStr">
        <is>
          <t>LISTED</t>
        </is>
      </c>
      <c r="S397" t="n">
        <v>33.52907092416233</v>
      </c>
      <c r="T397" t="n">
        <v>-7.616557500026398</v>
      </c>
      <c r="U397" s="7" t="n">
        <v>12081</v>
      </c>
      <c r="V397" t="inlineStr"/>
      <c r="W397" s="10" t="inlineStr">
        <is>
          <t>https://yakeey.com/fr-ma/achat/biens/182339</t>
        </is>
      </c>
    </row>
    <row r="398">
      <c r="A398" s="2" t="inlineStr">
        <is>
          <t>182346</t>
        </is>
      </c>
      <c r="B398" s="2" t="inlineStr">
        <is>
          <t>APARTMENT</t>
        </is>
      </c>
      <c r="C398" s="2" t="inlineStr">
        <is>
          <t>Californie</t>
        </is>
      </c>
      <c r="D398" s="2" t="inlineStr">
        <is>
          <t>Casablanca</t>
        </is>
      </c>
      <c r="E398" s="3" t="n">
        <v>2130000</v>
      </c>
      <c r="F398" s="4" t="n">
        <v>143</v>
      </c>
      <c r="G398" s="4" t="n"/>
      <c r="H398" s="4" t="n"/>
      <c r="I398" s="5">
        <f>IFERROR(E398/F398,"")</f>
        <v/>
      </c>
      <c r="J398" s="2" t="n">
        <v>3</v>
      </c>
      <c r="K398" s="2" t="n">
        <v>2</v>
      </c>
      <c r="L398" s="2" t="n"/>
      <c r="M398" s="2" t="n"/>
      <c r="N398" s="2" t="n"/>
      <c r="O398" s="2" t="n"/>
      <c r="P398" s="2" t="inlineStr">
        <is>
          <t>LISTED</t>
        </is>
      </c>
      <c r="Q398" s="2" t="n"/>
      <c r="R398" s="2" t="n"/>
      <c r="S398" s="2" t="n">
        <v>33.52932152393853</v>
      </c>
      <c r="T398" s="2" t="n">
        <v>-7.61790407281583</v>
      </c>
      <c r="U398" s="3" t="n">
        <v>12254</v>
      </c>
      <c r="V398" s="2" t="inlineStr"/>
      <c r="W398" s="6" t="inlineStr">
        <is>
          <t>https://yakeey.com/fr-ma/achat/biens/182346</t>
        </is>
      </c>
    </row>
    <row r="399">
      <c r="A399" t="inlineStr">
        <is>
          <t>182360</t>
        </is>
      </c>
      <c r="B399" t="inlineStr">
        <is>
          <t>APARTMENT</t>
        </is>
      </c>
      <c r="C399" t="inlineStr">
        <is>
          <t>Moulay Rachid</t>
        </is>
      </c>
      <c r="D399" t="inlineStr">
        <is>
          <t>Casablanca</t>
        </is>
      </c>
      <c r="E399" s="7" t="n">
        <v>475000</v>
      </c>
      <c r="F399" s="8" t="n">
        <v>64</v>
      </c>
      <c r="G399" s="8" t="n"/>
      <c r="H399" s="8" t="n"/>
      <c r="I399" s="9">
        <f>IFERROR(E399/F399,"")</f>
        <v/>
      </c>
      <c r="J399" t="n">
        <v>2</v>
      </c>
      <c r="K399" t="n">
        <v>1</v>
      </c>
      <c r="P399" t="inlineStr">
        <is>
          <t>LISTED</t>
        </is>
      </c>
      <c r="S399" t="n">
        <v>33.56372752726458</v>
      </c>
      <c r="T399" t="n">
        <v>-7.538551398775742</v>
      </c>
      <c r="U399" s="7" t="n">
        <v>2732</v>
      </c>
      <c r="V399" t="inlineStr"/>
      <c r="W399" s="10" t="inlineStr">
        <is>
          <t>https://yakeey.com/fr-ma/achat/biens/182360</t>
        </is>
      </c>
    </row>
    <row r="400">
      <c r="A400" s="2" t="inlineStr">
        <is>
          <t>182361</t>
        </is>
      </c>
      <c r="B400" s="2" t="inlineStr">
        <is>
          <t>APARTMENT</t>
        </is>
      </c>
      <c r="C400" s="2" t="inlineStr">
        <is>
          <t>Moulay Rachid</t>
        </is>
      </c>
      <c r="D400" s="2" t="inlineStr">
        <is>
          <t>Casablanca</t>
        </is>
      </c>
      <c r="E400" s="3" t="n">
        <v>465000</v>
      </c>
      <c r="F400" s="4" t="n">
        <v>67</v>
      </c>
      <c r="G400" s="4" t="n"/>
      <c r="H400" s="4" t="n"/>
      <c r="I400" s="5">
        <f>IFERROR(E400/F400,"")</f>
        <v/>
      </c>
      <c r="J400" s="2" t="n">
        <v>2</v>
      </c>
      <c r="K400" s="2" t="n">
        <v>1</v>
      </c>
      <c r="L400" s="2" t="n"/>
      <c r="M400" s="2" t="n"/>
      <c r="N400" s="2" t="n"/>
      <c r="O400" s="2" t="n"/>
      <c r="P400" s="2" t="inlineStr">
        <is>
          <t>LISTED</t>
        </is>
      </c>
      <c r="Q400" s="2" t="n"/>
      <c r="R400" s="2" t="n"/>
      <c r="S400" s="2" t="n">
        <v>33.56367052836693</v>
      </c>
      <c r="T400" s="2" t="n">
        <v>-7.539434191489473</v>
      </c>
      <c r="U400" s="3" t="n">
        <v>2675</v>
      </c>
      <c r="V400" s="2" t="inlineStr"/>
      <c r="W400" s="6" t="inlineStr">
        <is>
          <t>https://yakeey.com/fr-ma/achat/biens/182361</t>
        </is>
      </c>
    </row>
    <row r="401">
      <c r="A401" t="inlineStr">
        <is>
          <t>182392</t>
        </is>
      </c>
      <c r="B401" t="inlineStr">
        <is>
          <t>APARTMENT</t>
        </is>
      </c>
      <c r="C401" t="inlineStr">
        <is>
          <t>Hopitaux</t>
        </is>
      </c>
      <c r="D401" t="inlineStr">
        <is>
          <t>Casablanca</t>
        </is>
      </c>
      <c r="E401" s="7" t="n">
        <v>1500000</v>
      </c>
      <c r="F401" s="8" t="n">
        <v>106</v>
      </c>
      <c r="G401" s="8" t="n"/>
      <c r="H401" s="8" t="n"/>
      <c r="I401" s="9">
        <f>IFERROR(E401/F401,"")</f>
        <v/>
      </c>
      <c r="J401" t="n">
        <v>2</v>
      </c>
      <c r="K401" t="n">
        <v>1</v>
      </c>
      <c r="P401" t="inlineStr">
        <is>
          <t>LISTED</t>
        </is>
      </c>
      <c r="S401" t="n">
        <v>33.58136868655568</v>
      </c>
      <c r="T401" t="n">
        <v>-7.615784962641961</v>
      </c>
      <c r="U401" s="7" t="n">
        <v>8629</v>
      </c>
      <c r="V401" t="inlineStr"/>
      <c r="W401" s="10" t="inlineStr">
        <is>
          <t>https://yakeey.com/fr-ma/achat/biens/182392</t>
        </is>
      </c>
    </row>
    <row r="402">
      <c r="A402" s="2" t="inlineStr">
        <is>
          <t>182437</t>
        </is>
      </c>
      <c r="B402" s="2" t="inlineStr">
        <is>
          <t>APARTMENT</t>
        </is>
      </c>
      <c r="C402" s="2" t="inlineStr">
        <is>
          <t>Hopitaux</t>
        </is>
      </c>
      <c r="D402" s="2" t="inlineStr">
        <is>
          <t>Casablanca</t>
        </is>
      </c>
      <c r="E402" s="3" t="n">
        <v>2595000</v>
      </c>
      <c r="F402" s="4" t="n">
        <v>167</v>
      </c>
      <c r="G402" s="4" t="n"/>
      <c r="H402" s="4" t="n"/>
      <c r="I402" s="5">
        <f>IFERROR(E402/F402,"")</f>
        <v/>
      </c>
      <c r="J402" s="2" t="n">
        <v>3</v>
      </c>
      <c r="K402" s="2" t="n">
        <v>2</v>
      </c>
      <c r="L402" s="2" t="n"/>
      <c r="M402" s="2" t="n"/>
      <c r="N402" s="2" t="n"/>
      <c r="O402" s="2" t="n"/>
      <c r="P402" s="2" t="inlineStr">
        <is>
          <t>LISTED</t>
        </is>
      </c>
      <c r="Q402" s="2" t="n"/>
      <c r="R402" s="2" t="n"/>
      <c r="S402" s="2" t="n">
        <v>33.57501122557618</v>
      </c>
      <c r="T402" s="2" t="n">
        <v>-7.625066303181215</v>
      </c>
      <c r="U402" s="3" t="n">
        <v>14929</v>
      </c>
      <c r="V402" s="2" t="inlineStr"/>
      <c r="W402" s="6" t="inlineStr">
        <is>
          <t>https://yakeey.com/fr-ma/achat/biens/182437</t>
        </is>
      </c>
    </row>
    <row r="403">
      <c r="A403" t="inlineStr">
        <is>
          <t>182625</t>
        </is>
      </c>
      <c r="B403" t="inlineStr">
        <is>
          <t>APARTMENT</t>
        </is>
      </c>
      <c r="C403" t="inlineStr">
        <is>
          <t>Bachkou</t>
        </is>
      </c>
      <c r="D403" t="inlineStr">
        <is>
          <t>Casablanca</t>
        </is>
      </c>
      <c r="E403" s="7" t="n">
        <v>1550000</v>
      </c>
      <c r="F403" s="8" t="n">
        <v>99</v>
      </c>
      <c r="G403" s="8" t="n"/>
      <c r="H403" s="8" t="n"/>
      <c r="I403" s="9">
        <f>IFERROR(E403/F403,"")</f>
        <v/>
      </c>
      <c r="J403" t="n">
        <v>2</v>
      </c>
      <c r="K403" t="n">
        <v>1</v>
      </c>
      <c r="P403" t="inlineStr">
        <is>
          <t>LISTED</t>
        </is>
      </c>
      <c r="S403" t="n">
        <v>33.56011197698211</v>
      </c>
      <c r="T403" t="n">
        <v>-7.626703405982248</v>
      </c>
      <c r="U403" s="7" t="n">
        <v>8917</v>
      </c>
      <c r="V403" t="inlineStr"/>
      <c r="W403" s="10" t="inlineStr">
        <is>
          <t>https://yakeey.com/fr-ma/achat/biens/182625</t>
        </is>
      </c>
    </row>
    <row r="404">
      <c r="A404" s="2" t="inlineStr">
        <is>
          <t>182684</t>
        </is>
      </c>
      <c r="B404" s="2" t="inlineStr">
        <is>
          <t>APARTMENT</t>
        </is>
      </c>
      <c r="C404" s="2" t="inlineStr">
        <is>
          <t>Palmier (Maarif)</t>
        </is>
      </c>
      <c r="D404" s="2" t="inlineStr">
        <is>
          <t>Casablanca</t>
        </is>
      </c>
      <c r="E404" s="3" t="n">
        <v>3590554</v>
      </c>
      <c r="F404" s="4" t="n">
        <v>203</v>
      </c>
      <c r="G404" s="4" t="n"/>
      <c r="H404" s="4" t="n"/>
      <c r="I404" s="5">
        <f>IFERROR(E404/F404,"")</f>
        <v/>
      </c>
      <c r="J404" s="2" t="n">
        <v>3</v>
      </c>
      <c r="K404" s="2" t="n">
        <v>3</v>
      </c>
      <c r="L404" s="2" t="n"/>
      <c r="M404" s="2" t="n"/>
      <c r="N404" s="2" t="n"/>
      <c r="O404" s="2" t="n"/>
      <c r="P404" s="2" t="inlineStr">
        <is>
          <t>LISTED</t>
        </is>
      </c>
      <c r="Q404" s="2" t="n"/>
      <c r="R404" s="2" t="n"/>
      <c r="S404" s="2" t="n">
        <v>33.58178484355997</v>
      </c>
      <c r="T404" s="2" t="n">
        <v>-7.625056226530136</v>
      </c>
      <c r="U404" s="3" t="n">
        <v>20656</v>
      </c>
      <c r="V404" s="2" t="inlineStr"/>
      <c r="W404" s="6" t="inlineStr">
        <is>
          <t>https://yakeey.com/fr-ma/achat/biens/182684</t>
        </is>
      </c>
    </row>
    <row r="405">
      <c r="A405" t="inlineStr">
        <is>
          <t>182777</t>
        </is>
      </c>
      <c r="B405" t="inlineStr">
        <is>
          <t>APARTMENT</t>
        </is>
      </c>
      <c r="C405" t="inlineStr">
        <is>
          <t>Triangle D'Or</t>
        </is>
      </c>
      <c r="D405" t="inlineStr">
        <is>
          <t>Casablanca</t>
        </is>
      </c>
      <c r="E405" s="7" t="n">
        <v>3500000</v>
      </c>
      <c r="F405" s="8" t="n">
        <v>202</v>
      </c>
      <c r="G405" s="8" t="n"/>
      <c r="H405" s="8" t="n"/>
      <c r="I405" s="9">
        <f>IFERROR(E405/F405,"")</f>
        <v/>
      </c>
      <c r="J405" t="n">
        <v>3</v>
      </c>
      <c r="K405" t="n">
        <v>2</v>
      </c>
      <c r="P405" t="inlineStr">
        <is>
          <t>LISTED</t>
        </is>
      </c>
      <c r="S405" t="n">
        <v>33.59308261001971</v>
      </c>
      <c r="T405" t="n">
        <v>-7.639334414222262</v>
      </c>
      <c r="U405" s="7" t="n">
        <v>20135</v>
      </c>
      <c r="V405" t="inlineStr"/>
      <c r="W405" s="10" t="inlineStr">
        <is>
          <t>https://yakeey.com/fr-ma/achat/biens/182777</t>
        </is>
      </c>
    </row>
    <row r="406">
      <c r="A406" s="2" t="inlineStr">
        <is>
          <t>182799</t>
        </is>
      </c>
      <c r="B406" s="2" t="inlineStr">
        <is>
          <t>APARTMENT</t>
        </is>
      </c>
      <c r="C406" s="2" t="inlineStr">
        <is>
          <t>Belvedere (Roches Noires)</t>
        </is>
      </c>
      <c r="D406" s="2" t="inlineStr">
        <is>
          <t>Casablanca</t>
        </is>
      </c>
      <c r="E406" s="3" t="n">
        <v>1695000</v>
      </c>
      <c r="F406" s="4" t="n">
        <v>155</v>
      </c>
      <c r="G406" s="4" t="n"/>
      <c r="H406" s="4" t="n"/>
      <c r="I406" s="5">
        <f>IFERROR(E406/F406,"")</f>
        <v/>
      </c>
      <c r="J406" s="2" t="n">
        <v>3</v>
      </c>
      <c r="K406" s="2" t="n">
        <v>2</v>
      </c>
      <c r="L406" s="2" t="n"/>
      <c r="M406" s="2" t="n"/>
      <c r="N406" s="2" t="n"/>
      <c r="O406" s="2" t="n"/>
      <c r="P406" s="2" t="inlineStr">
        <is>
          <t>LISTED</t>
        </is>
      </c>
      <c r="Q406" s="2" t="n"/>
      <c r="R406" s="2" t="n"/>
      <c r="S406" s="2" t="n">
        <v>33.59065727360902</v>
      </c>
      <c r="T406" s="2" t="n">
        <v>-7.598627175729201</v>
      </c>
      <c r="U406" s="3" t="n">
        <v>9751</v>
      </c>
      <c r="V406" s="2" t="inlineStr"/>
      <c r="W406" s="6" t="inlineStr">
        <is>
          <t>https://yakeey.com/fr-ma/achat/biens/182799</t>
        </is>
      </c>
    </row>
    <row r="407">
      <c r="A407" t="inlineStr">
        <is>
          <t>182901</t>
        </is>
      </c>
      <c r="B407" t="inlineStr">
        <is>
          <t>APARTMENT</t>
        </is>
      </c>
      <c r="C407" t="inlineStr">
        <is>
          <t>Beausejour</t>
        </is>
      </c>
      <c r="D407" t="inlineStr">
        <is>
          <t>Casablanca</t>
        </is>
      </c>
      <c r="E407" s="7" t="n">
        <v>1400000</v>
      </c>
      <c r="F407" s="8" t="n">
        <v>86</v>
      </c>
      <c r="G407" s="8" t="n"/>
      <c r="H407" s="8" t="n"/>
      <c r="I407" s="9">
        <f>IFERROR(E407/F407,"")</f>
        <v/>
      </c>
      <c r="J407" t="n">
        <v>2</v>
      </c>
      <c r="K407" t="n">
        <v>2</v>
      </c>
      <c r="P407" t="inlineStr">
        <is>
          <t>LISTED</t>
        </is>
      </c>
      <c r="S407" t="n">
        <v>33.56969432256258</v>
      </c>
      <c r="T407" t="n">
        <v>-7.649794102758368</v>
      </c>
      <c r="U407" s="7" t="n">
        <v>8054</v>
      </c>
      <c r="V407" t="inlineStr"/>
      <c r="W407" s="10" t="inlineStr">
        <is>
          <t>https://yakeey.com/fr-ma/achat/biens/182901</t>
        </is>
      </c>
    </row>
    <row r="408">
      <c r="A408" s="2" t="inlineStr">
        <is>
          <t>183050</t>
        </is>
      </c>
      <c r="B408" s="2" t="inlineStr">
        <is>
          <t>APARTMENT</t>
        </is>
      </c>
      <c r="C408" s="2" t="inlineStr">
        <is>
          <t>Les Princesses</t>
        </is>
      </c>
      <c r="D408" s="2" t="inlineStr">
        <is>
          <t>Casablanca</t>
        </is>
      </c>
      <c r="E408" s="3" t="n">
        <v>2800000</v>
      </c>
      <c r="F408" s="4" t="n">
        <v>168</v>
      </c>
      <c r="G408" s="4" t="n"/>
      <c r="H408" s="4" t="n"/>
      <c r="I408" s="5">
        <f>IFERROR(E408/F408,"")</f>
        <v/>
      </c>
      <c r="J408" s="2" t="n">
        <v>3</v>
      </c>
      <c r="K408" s="2" t="n">
        <v>2</v>
      </c>
      <c r="L408" s="2" t="n"/>
      <c r="M408" s="2" t="n"/>
      <c r="N408" s="2" t="n"/>
      <c r="O408" s="2" t="n"/>
      <c r="P408" s="2" t="inlineStr">
        <is>
          <t>LISTED</t>
        </is>
      </c>
      <c r="Q408" s="2" t="n"/>
      <c r="R408" s="2" t="n"/>
      <c r="S408" s="2" t="n">
        <v>33.57339331040838</v>
      </c>
      <c r="T408" s="2" t="n">
        <v>-7.64113181967162</v>
      </c>
      <c r="U408" s="3" t="n">
        <v>16108</v>
      </c>
      <c r="V408" s="2" t="inlineStr"/>
      <c r="W408" s="6" t="inlineStr">
        <is>
          <t>https://yakeey.com/fr-ma/achat/biens/183050</t>
        </is>
      </c>
    </row>
    <row r="409">
      <c r="A409" t="inlineStr">
        <is>
          <t>183142</t>
        </is>
      </c>
      <c r="B409" t="inlineStr">
        <is>
          <t>APARTMENT</t>
        </is>
      </c>
      <c r="C409" t="inlineStr">
        <is>
          <t>Belvedere (Roches Noires)</t>
        </is>
      </c>
      <c r="D409" t="inlineStr">
        <is>
          <t>Casablanca</t>
        </is>
      </c>
      <c r="E409" s="7" t="n">
        <v>1220000</v>
      </c>
      <c r="F409" s="8" t="n">
        <v>98</v>
      </c>
      <c r="G409" s="8" t="n"/>
      <c r="H409" s="8" t="n"/>
      <c r="I409" s="9">
        <f>IFERROR(E409/F409,"")</f>
        <v/>
      </c>
      <c r="J409" t="n">
        <v>2</v>
      </c>
      <c r="K409" t="n">
        <v>2</v>
      </c>
      <c r="P409" t="inlineStr">
        <is>
          <t>LISTED</t>
        </is>
      </c>
      <c r="S409" t="n">
        <v>33.59748781845946</v>
      </c>
      <c r="T409" t="n">
        <v>-7.587545366554651</v>
      </c>
      <c r="U409" s="7" t="n">
        <v>7018</v>
      </c>
      <c r="V409" t="inlineStr"/>
      <c r="W409" s="10" t="inlineStr">
        <is>
          <t>https://yakeey.com/fr-ma/achat/biens/183142</t>
        </is>
      </c>
    </row>
    <row r="410">
      <c r="A410" s="2" t="inlineStr">
        <is>
          <t>183157</t>
        </is>
      </c>
      <c r="B410" s="2" t="inlineStr">
        <is>
          <t>APARTMENT</t>
        </is>
      </c>
      <c r="C410" s="2" t="inlineStr">
        <is>
          <t>Racine</t>
        </is>
      </c>
      <c r="D410" s="2" t="inlineStr">
        <is>
          <t>Casablanca</t>
        </is>
      </c>
      <c r="E410" s="3" t="n">
        <v>3500000</v>
      </c>
      <c r="F410" s="4" t="n">
        <v>170</v>
      </c>
      <c r="G410" s="4" t="n"/>
      <c r="H410" s="4" t="n"/>
      <c r="I410" s="5">
        <f>IFERROR(E410/F410,"")</f>
        <v/>
      </c>
      <c r="J410" s="2" t="n">
        <v>3</v>
      </c>
      <c r="K410" s="2" t="n">
        <v>2</v>
      </c>
      <c r="L410" s="2" t="n"/>
      <c r="M410" s="2" t="n"/>
      <c r="N410" s="2" t="n"/>
      <c r="O410" s="2" t="n"/>
      <c r="P410" s="2" t="inlineStr">
        <is>
          <t>LISTED</t>
        </is>
      </c>
      <c r="Q410" s="2" t="n"/>
      <c r="R410" s="2" t="n"/>
      <c r="S410" s="2" t="n">
        <v>33.59294210568943</v>
      </c>
      <c r="T410" s="2" t="n">
        <v>-7.636909040146241</v>
      </c>
      <c r="U410" s="3" t="n">
        <v>20135</v>
      </c>
      <c r="V410" s="2" t="inlineStr"/>
      <c r="W410" s="6" t="inlineStr">
        <is>
          <t>https://yakeey.com/fr-ma/achat/biens/183157</t>
        </is>
      </c>
    </row>
    <row r="411">
      <c r="A411" t="inlineStr">
        <is>
          <t>183180</t>
        </is>
      </c>
      <c r="B411" t="inlineStr">
        <is>
          <t>APARTMENT</t>
        </is>
      </c>
      <c r="C411" t="inlineStr">
        <is>
          <t>Hopitaux</t>
        </is>
      </c>
      <c r="D411" t="inlineStr">
        <is>
          <t>Casablanca</t>
        </is>
      </c>
      <c r="E411" s="7" t="n">
        <v>2308500</v>
      </c>
      <c r="F411" s="8" t="n">
        <v>178</v>
      </c>
      <c r="G411" s="8" t="n"/>
      <c r="H411" s="8" t="n"/>
      <c r="I411" s="9">
        <f>IFERROR(E411/F411,"")</f>
        <v/>
      </c>
      <c r="J411" t="n">
        <v>3</v>
      </c>
      <c r="K411" t="n">
        <v>2</v>
      </c>
      <c r="P411" t="inlineStr">
        <is>
          <t>LISTED</t>
        </is>
      </c>
      <c r="S411" t="n">
        <v>33.58306767948623</v>
      </c>
      <c r="T411" t="n">
        <v>-7.628552272647176</v>
      </c>
      <c r="U411" s="7" t="n">
        <v>13280</v>
      </c>
      <c r="V411" t="inlineStr"/>
      <c r="W411" s="10" t="inlineStr">
        <is>
          <t>https://yakeey.com/fr-ma/achat/biens/183180</t>
        </is>
      </c>
    </row>
    <row r="412">
      <c r="A412" s="2" t="inlineStr">
        <is>
          <t>183403</t>
        </is>
      </c>
      <c r="B412" s="2" t="inlineStr">
        <is>
          <t>APARTMENT</t>
        </is>
      </c>
      <c r="C412" s="2" t="inlineStr">
        <is>
          <t>Mers Sultan</t>
        </is>
      </c>
      <c r="D412" s="2" t="inlineStr">
        <is>
          <t>Casablanca</t>
        </is>
      </c>
      <c r="E412" s="3" t="n">
        <v>890000</v>
      </c>
      <c r="F412" s="4" t="n">
        <v>80</v>
      </c>
      <c r="G412" s="4" t="n"/>
      <c r="H412" s="4" t="n"/>
      <c r="I412" s="5">
        <f>IFERROR(E412/F412,"")</f>
        <v/>
      </c>
      <c r="J412" s="2" t="n">
        <v>2</v>
      </c>
      <c r="K412" s="2" t="n">
        <v>1</v>
      </c>
      <c r="L412" s="2" t="n"/>
      <c r="M412" s="2" t="n"/>
      <c r="N412" s="2" t="n"/>
      <c r="O412" s="2" t="n"/>
      <c r="P412" s="2" t="inlineStr">
        <is>
          <t>LISTED</t>
        </is>
      </c>
      <c r="Q412" s="2" t="n"/>
      <c r="R412" s="2" t="n"/>
      <c r="S412" s="2" t="n">
        <v>33.57574410547063</v>
      </c>
      <c r="T412" s="2" t="n">
        <v>-7.59965607004279</v>
      </c>
      <c r="U412" s="3" t="n">
        <v>5120</v>
      </c>
      <c r="V412" s="2" t="inlineStr"/>
      <c r="W412" s="6" t="inlineStr">
        <is>
          <t>https://yakeey.com/fr-ma/achat/biens/183403</t>
        </is>
      </c>
    </row>
    <row r="413">
      <c r="A413" t="inlineStr">
        <is>
          <t>183501</t>
        </is>
      </c>
      <c r="B413" t="inlineStr">
        <is>
          <t>APARTMENT</t>
        </is>
      </c>
      <c r="C413" t="inlineStr">
        <is>
          <t>Ibn Tachfine</t>
        </is>
      </c>
      <c r="D413" t="inlineStr">
        <is>
          <t>Casablanca</t>
        </is>
      </c>
      <c r="E413" s="7" t="n">
        <v>710000</v>
      </c>
      <c r="F413" s="8" t="n">
        <v>73</v>
      </c>
      <c r="G413" s="8" t="n"/>
      <c r="H413" s="8" t="n"/>
      <c r="I413" s="9">
        <f>IFERROR(E413/F413,"")</f>
        <v/>
      </c>
      <c r="J413" t="n">
        <v>1</v>
      </c>
      <c r="K413" t="n">
        <v>1</v>
      </c>
      <c r="P413" t="inlineStr">
        <is>
          <t>LISTED</t>
        </is>
      </c>
      <c r="S413" t="n">
        <v>33.58489304029858</v>
      </c>
      <c r="T413" t="n">
        <v>-7.593351225204453</v>
      </c>
      <c r="U413" s="7" t="n">
        <v>4084</v>
      </c>
      <c r="V413" t="inlineStr"/>
      <c r="W413" s="10" t="inlineStr">
        <is>
          <t>https://yakeey.com/fr-ma/achat/biens/183501</t>
        </is>
      </c>
    </row>
    <row r="414">
      <c r="A414" s="2" t="inlineStr">
        <is>
          <t>183542</t>
        </is>
      </c>
      <c r="B414" s="2" t="inlineStr">
        <is>
          <t>APARTMENT</t>
        </is>
      </c>
      <c r="C414" s="2" t="inlineStr">
        <is>
          <t>Val Fleuri</t>
        </is>
      </c>
      <c r="D414" s="2" t="inlineStr">
        <is>
          <t>Casablanca</t>
        </is>
      </c>
      <c r="E414" s="3" t="n">
        <v>1484800</v>
      </c>
      <c r="F414" s="4" t="n">
        <v>102</v>
      </c>
      <c r="G414" s="4" t="n"/>
      <c r="H414" s="4" t="n"/>
      <c r="I414" s="5">
        <f>IFERROR(E414/F414,"")</f>
        <v/>
      </c>
      <c r="J414" s="2" t="n">
        <v>2</v>
      </c>
      <c r="K414" s="2" t="n">
        <v>1</v>
      </c>
      <c r="L414" s="2" t="n"/>
      <c r="M414" s="2" t="n"/>
      <c r="N414" s="2" t="n"/>
      <c r="O414" s="2" t="n"/>
      <c r="P414" s="2" t="inlineStr">
        <is>
          <t>LISTED</t>
        </is>
      </c>
      <c r="Q414" s="2" t="n"/>
      <c r="R414" s="2" t="n"/>
      <c r="S414" s="2" t="n">
        <v>33.57419525887712</v>
      </c>
      <c r="T414" s="2" t="n">
        <v>-7.636733887954731</v>
      </c>
      <c r="U414" s="3" t="n">
        <v>8542</v>
      </c>
      <c r="V414" s="2" t="inlineStr"/>
      <c r="W414" s="6" t="inlineStr">
        <is>
          <t>https://yakeey.com/fr-ma/achat/biens/183542</t>
        </is>
      </c>
    </row>
    <row r="415">
      <c r="A415" t="inlineStr">
        <is>
          <t>183544</t>
        </is>
      </c>
      <c r="B415" t="inlineStr">
        <is>
          <t>APARTMENT</t>
        </is>
      </c>
      <c r="C415" t="inlineStr">
        <is>
          <t>Ain Diab</t>
        </is>
      </c>
      <c r="D415" t="inlineStr">
        <is>
          <t>Casablanca</t>
        </is>
      </c>
      <c r="E415" s="7" t="n">
        <v>3200000</v>
      </c>
      <c r="F415" s="8" t="n">
        <v>223</v>
      </c>
      <c r="G415" s="8" t="n"/>
      <c r="H415" s="8" t="n"/>
      <c r="I415" s="9">
        <f>IFERROR(E415/F415,"")</f>
        <v/>
      </c>
      <c r="J415" t="n">
        <v>3</v>
      </c>
      <c r="K415" t="n">
        <v>2</v>
      </c>
      <c r="P415" t="inlineStr">
        <is>
          <t>LISTED</t>
        </is>
      </c>
      <c r="S415" t="n">
        <v>33.58814657808227</v>
      </c>
      <c r="T415" t="n">
        <v>-7.681959176498021</v>
      </c>
      <c r="U415" s="7" t="n">
        <v>18409</v>
      </c>
      <c r="V415" t="inlineStr"/>
      <c r="W415" s="10" t="inlineStr">
        <is>
          <t>https://yakeey.com/fr-ma/achat/biens/183544</t>
        </is>
      </c>
    </row>
    <row r="416">
      <c r="A416" s="2" t="inlineStr">
        <is>
          <t>183604</t>
        </is>
      </c>
      <c r="B416" s="2" t="inlineStr">
        <is>
          <t>APARTMENT</t>
        </is>
      </c>
      <c r="C416" s="2" t="inlineStr">
        <is>
          <t>Val Fleuri</t>
        </is>
      </c>
      <c r="D416" s="2" t="inlineStr">
        <is>
          <t>Casablanca</t>
        </is>
      </c>
      <c r="E416" s="3" t="n">
        <v>1800000</v>
      </c>
      <c r="F416" s="4" t="n">
        <v>123</v>
      </c>
      <c r="G416" s="4" t="n"/>
      <c r="H416" s="4" t="n"/>
      <c r="I416" s="5">
        <f>IFERROR(E416/F416,"")</f>
        <v/>
      </c>
      <c r="J416" s="2" t="n">
        <v>2</v>
      </c>
      <c r="K416" s="2" t="n">
        <v>2</v>
      </c>
      <c r="L416" s="2" t="n"/>
      <c r="M416" s="2" t="n"/>
      <c r="N416" s="2" t="n"/>
      <c r="O416" s="2" t="n"/>
      <c r="P416" s="2" t="inlineStr">
        <is>
          <t>LISTED</t>
        </is>
      </c>
      <c r="Q416" s="2" t="n"/>
      <c r="R416" s="2" t="n"/>
      <c r="S416" s="2" t="n">
        <v>33.57364134531912</v>
      </c>
      <c r="T416" s="2" t="n">
        <v>-7.637228604572265</v>
      </c>
      <c r="U416" s="3" t="n">
        <v>10355</v>
      </c>
      <c r="V416" s="2" t="inlineStr"/>
      <c r="W416" s="6" t="inlineStr">
        <is>
          <t>https://yakeey.com/fr-ma/achat/biens/183604</t>
        </is>
      </c>
    </row>
    <row r="417">
      <c r="A417" t="inlineStr">
        <is>
          <t>183865</t>
        </is>
      </c>
      <c r="B417" t="inlineStr">
        <is>
          <t>APARTMENT</t>
        </is>
      </c>
      <c r="C417" t="inlineStr">
        <is>
          <t>Laymoune</t>
        </is>
      </c>
      <c r="D417" t="inlineStr">
        <is>
          <t>Casablanca</t>
        </is>
      </c>
      <c r="E417" s="7" t="n">
        <v>840000</v>
      </c>
      <c r="F417" s="8" t="n">
        <v>77</v>
      </c>
      <c r="G417" s="8" t="n"/>
      <c r="H417" s="8" t="n"/>
      <c r="I417" s="9">
        <f>IFERROR(E417/F417,"")</f>
        <v/>
      </c>
      <c r="J417" t="n">
        <v>3</v>
      </c>
      <c r="K417" t="n">
        <v>1</v>
      </c>
      <c r="P417" t="inlineStr">
        <is>
          <t>LISTED</t>
        </is>
      </c>
      <c r="S417" t="n">
        <v>33.53884364383906</v>
      </c>
      <c r="T417" t="n">
        <v>-7.673784581882815</v>
      </c>
      <c r="U417" s="7" t="n">
        <v>4832</v>
      </c>
      <c r="V417" t="inlineStr"/>
      <c r="W417" s="10" t="inlineStr">
        <is>
          <t>https://yakeey.com/fr-ma/achat/biens/183865</t>
        </is>
      </c>
    </row>
    <row r="418">
      <c r="A418" s="2" t="inlineStr">
        <is>
          <t>183945</t>
        </is>
      </c>
      <c r="B418" s="2" t="inlineStr">
        <is>
          <t>APARTMENT</t>
        </is>
      </c>
      <c r="C418" s="2" t="inlineStr">
        <is>
          <t>Lekrimat</t>
        </is>
      </c>
      <c r="D418" s="2" t="inlineStr">
        <is>
          <t>Casablanca</t>
        </is>
      </c>
      <c r="E418" s="3" t="n">
        <v>2180000</v>
      </c>
      <c r="F418" s="4" t="n">
        <v>170</v>
      </c>
      <c r="G418" s="4" t="n"/>
      <c r="H418" s="4" t="n"/>
      <c r="I418" s="5">
        <f>IFERROR(E418/F418,"")</f>
        <v/>
      </c>
      <c r="J418" s="2" t="n">
        <v>3</v>
      </c>
      <c r="K418" s="2" t="n">
        <v>2</v>
      </c>
      <c r="L418" s="2" t="n"/>
      <c r="M418" s="2" t="n"/>
      <c r="N418" s="2" t="n"/>
      <c r="O418" s="2" t="n"/>
      <c r="P418" s="2" t="inlineStr">
        <is>
          <t>LISTED</t>
        </is>
      </c>
      <c r="Q418" s="2" t="n"/>
      <c r="R418" s="2" t="n"/>
      <c r="S418" s="2" t="n">
        <v>33.54674557949335</v>
      </c>
      <c r="T418" s="2" t="n">
        <v>-7.603572512682093</v>
      </c>
      <c r="U418" s="3" t="n">
        <v>12541</v>
      </c>
      <c r="V418" s="2" t="inlineStr"/>
      <c r="W418" s="6" t="inlineStr">
        <is>
          <t>https://yakeey.com/fr-ma/achat/biens/183945</t>
        </is>
      </c>
    </row>
    <row r="419">
      <c r="A419" t="inlineStr">
        <is>
          <t>184138</t>
        </is>
      </c>
      <c r="B419" t="inlineStr">
        <is>
          <t>APARTMENT</t>
        </is>
      </c>
      <c r="C419" t="inlineStr">
        <is>
          <t>Ain Sebaa</t>
        </is>
      </c>
      <c r="D419" t="inlineStr">
        <is>
          <t>Casablanca</t>
        </is>
      </c>
      <c r="E419" s="7" t="n">
        <v>1100000</v>
      </c>
      <c r="F419" s="8" t="n">
        <v>91</v>
      </c>
      <c r="G419" s="8" t="n"/>
      <c r="H419" s="8" t="n"/>
      <c r="I419" s="9">
        <f>IFERROR(E419/F419,"")</f>
        <v/>
      </c>
      <c r="J419" t="n">
        <v>2</v>
      </c>
      <c r="K419" t="n">
        <v>2</v>
      </c>
      <c r="P419" t="inlineStr">
        <is>
          <t>LISTED</t>
        </is>
      </c>
      <c r="S419" t="n">
        <v>33.60924612391285</v>
      </c>
      <c r="T419" t="n">
        <v>-7.532745462525867</v>
      </c>
      <c r="U419" s="7" t="n">
        <v>6328</v>
      </c>
      <c r="V419" t="inlineStr"/>
      <c r="W419" s="10" t="inlineStr">
        <is>
          <t>https://yakeey.com/fr-ma/achat/biens/184138</t>
        </is>
      </c>
    </row>
    <row r="420">
      <c r="A420" s="2" t="inlineStr">
        <is>
          <t>184254</t>
        </is>
      </c>
      <c r="B420" s="2" t="inlineStr">
        <is>
          <t>APARTMENT</t>
        </is>
      </c>
      <c r="C420" s="2" t="inlineStr">
        <is>
          <t>Hopitaux</t>
        </is>
      </c>
      <c r="D420" s="2" t="inlineStr">
        <is>
          <t>Casablanca</t>
        </is>
      </c>
      <c r="E420" s="3" t="n">
        <v>2390000</v>
      </c>
      <c r="F420" s="4" t="n">
        <v>174</v>
      </c>
      <c r="G420" s="4" t="n"/>
      <c r="H420" s="4" t="n"/>
      <c r="I420" s="5">
        <f>IFERROR(E420/F420,"")</f>
        <v/>
      </c>
      <c r="J420" s="2" t="n">
        <v>3</v>
      </c>
      <c r="K420" s="2" t="n">
        <v>2</v>
      </c>
      <c r="L420" s="2" t="n"/>
      <c r="M420" s="2" t="n"/>
      <c r="N420" s="2" t="n"/>
      <c r="O420" s="2" t="n"/>
      <c r="P420" s="2" t="inlineStr">
        <is>
          <t>LISTED</t>
        </is>
      </c>
      <c r="Q420" s="2" t="n"/>
      <c r="R420" s="2" t="n"/>
      <c r="S420" s="2" t="n">
        <v>33.58035558765376</v>
      </c>
      <c r="T420" s="2" t="n">
        <v>-7.623819821299411</v>
      </c>
      <c r="U420" s="3" t="n">
        <v>13749</v>
      </c>
      <c r="V420" s="2" t="inlineStr"/>
      <c r="W420" s="6" t="inlineStr">
        <is>
          <t>https://yakeey.com/fr-ma/achat/biens/184254</t>
        </is>
      </c>
    </row>
    <row r="421">
      <c r="A421" t="inlineStr">
        <is>
          <t>184314</t>
        </is>
      </c>
      <c r="B421" t="inlineStr">
        <is>
          <t>APARTMENT</t>
        </is>
      </c>
      <c r="C421" t="inlineStr">
        <is>
          <t>Bachkou</t>
        </is>
      </c>
      <c r="D421" t="inlineStr">
        <is>
          <t>Casablanca</t>
        </is>
      </c>
      <c r="E421" s="7" t="n">
        <v>1720000</v>
      </c>
      <c r="F421" s="8" t="n">
        <v>106</v>
      </c>
      <c r="G421" s="8" t="n"/>
      <c r="H421" s="8" t="n"/>
      <c r="I421" s="9">
        <f>IFERROR(E421/F421,"")</f>
        <v/>
      </c>
      <c r="J421" t="n">
        <v>2</v>
      </c>
      <c r="K421" t="n">
        <v>2</v>
      </c>
      <c r="P421" t="inlineStr">
        <is>
          <t>LISTED</t>
        </is>
      </c>
      <c r="S421" t="n">
        <v>33.55475663853212</v>
      </c>
      <c r="T421" t="n">
        <v>-7.630901599180722</v>
      </c>
      <c r="U421" s="7" t="n">
        <v>9895</v>
      </c>
      <c r="V421" t="inlineStr"/>
      <c r="W421" s="10" t="inlineStr">
        <is>
          <t>https://yakeey.com/fr-ma/achat/biens/184314</t>
        </is>
      </c>
    </row>
    <row r="422">
      <c r="A422" s="2" t="inlineStr">
        <is>
          <t>184353</t>
        </is>
      </c>
      <c r="B422" s="2" t="inlineStr">
        <is>
          <t>APARTMENT</t>
        </is>
      </c>
      <c r="C422" s="2" t="inlineStr">
        <is>
          <t>Mers Sultan</t>
        </is>
      </c>
      <c r="D422" s="2" t="inlineStr">
        <is>
          <t>Casablanca</t>
        </is>
      </c>
      <c r="E422" s="3" t="n">
        <v>1900000</v>
      </c>
      <c r="F422" s="4" t="n">
        <v>146</v>
      </c>
      <c r="G422" s="4" t="n"/>
      <c r="H422" s="4" t="n"/>
      <c r="I422" s="5">
        <f>IFERROR(E422/F422,"")</f>
        <v/>
      </c>
      <c r="J422" s="2" t="n">
        <v>2</v>
      </c>
      <c r="K422" s="2" t="n">
        <v>2</v>
      </c>
      <c r="L422" s="2" t="n"/>
      <c r="M422" s="2" t="n"/>
      <c r="N422" s="2" t="n"/>
      <c r="O422" s="2" t="n"/>
      <c r="P422" s="2" t="inlineStr">
        <is>
          <t>LISTED</t>
        </is>
      </c>
      <c r="Q422" s="2" t="n"/>
      <c r="R422" s="2" t="n"/>
      <c r="S422" s="2" t="n">
        <v>33.57292816600745</v>
      </c>
      <c r="T422" s="2" t="n">
        <v>-7.61115152979611</v>
      </c>
      <c r="U422" s="3" t="n">
        <v>10930</v>
      </c>
      <c r="V422" s="2" t="inlineStr"/>
      <c r="W422" s="6" t="inlineStr">
        <is>
          <t>https://yakeey.com/fr-ma/achat/biens/184353</t>
        </is>
      </c>
    </row>
    <row r="423">
      <c r="A423" t="inlineStr">
        <is>
          <t>184374</t>
        </is>
      </c>
      <c r="B423" t="inlineStr">
        <is>
          <t>APARTMENT</t>
        </is>
      </c>
      <c r="C423" t="inlineStr">
        <is>
          <t>Les Princesses</t>
        </is>
      </c>
      <c r="D423" t="inlineStr">
        <is>
          <t>Casablanca</t>
        </is>
      </c>
      <c r="E423" s="7" t="n">
        <v>1229000</v>
      </c>
      <c r="F423" s="8" t="n">
        <v>85</v>
      </c>
      <c r="G423" s="8" t="n"/>
      <c r="H423" s="8" t="n"/>
      <c r="I423" s="9">
        <f>IFERROR(E423/F423,"")</f>
        <v/>
      </c>
      <c r="J423" t="n">
        <v>2</v>
      </c>
      <c r="K423" t="n">
        <v>1</v>
      </c>
      <c r="P423" t="inlineStr">
        <is>
          <t>LISTED</t>
        </is>
      </c>
      <c r="S423" t="n">
        <v>33.57660906028723</v>
      </c>
      <c r="T423" t="n">
        <v>-7.651117475089225</v>
      </c>
      <c r="U423" s="7" t="n">
        <v>7070</v>
      </c>
      <c r="V423" t="inlineStr"/>
      <c r="W423" s="10" t="inlineStr">
        <is>
          <t>https://yakeey.com/fr-ma/achat/biens/184374</t>
        </is>
      </c>
    </row>
    <row r="424">
      <c r="A424" s="2" t="inlineStr">
        <is>
          <t>184381</t>
        </is>
      </c>
      <c r="B424" s="2" t="inlineStr">
        <is>
          <t>APARTMENT</t>
        </is>
      </c>
      <c r="C424" s="2" t="inlineStr">
        <is>
          <t>Hopitaux</t>
        </is>
      </c>
      <c r="D424" s="2" t="inlineStr">
        <is>
          <t>Casablanca</t>
        </is>
      </c>
      <c r="E424" s="3" t="n">
        <v>1800000</v>
      </c>
      <c r="F424" s="4" t="n">
        <v>141</v>
      </c>
      <c r="G424" s="4" t="n"/>
      <c r="H424" s="4" t="n"/>
      <c r="I424" s="5">
        <f>IFERROR(E424/F424,"")</f>
        <v/>
      </c>
      <c r="J424" s="2" t="n">
        <v>3</v>
      </c>
      <c r="K424" s="2" t="n">
        <v>1</v>
      </c>
      <c r="L424" s="2" t="n"/>
      <c r="M424" s="2" t="n"/>
      <c r="N424" s="2" t="n"/>
      <c r="O424" s="2" t="n"/>
      <c r="P424" s="2" t="inlineStr">
        <is>
          <t>LISTED</t>
        </is>
      </c>
      <c r="Q424" s="2" t="n"/>
      <c r="R424" s="2" t="n"/>
      <c r="S424" s="2" t="n">
        <v>33.57432018096397</v>
      </c>
      <c r="T424" s="2" t="n">
        <v>-7.616601808472389</v>
      </c>
      <c r="U424" s="3" t="n">
        <v>10355</v>
      </c>
      <c r="V424" s="2" t="inlineStr"/>
      <c r="W424" s="6" t="inlineStr">
        <is>
          <t>https://yakeey.com/fr-ma/achat/biens/184381</t>
        </is>
      </c>
    </row>
    <row r="425">
      <c r="A425" t="inlineStr">
        <is>
          <t>184393</t>
        </is>
      </c>
      <c r="B425" t="inlineStr">
        <is>
          <t>APARTMENT</t>
        </is>
      </c>
      <c r="C425" t="inlineStr">
        <is>
          <t>Hopitaux</t>
        </is>
      </c>
      <c r="D425" t="inlineStr">
        <is>
          <t>Casablanca</t>
        </is>
      </c>
      <c r="E425" s="7" t="n">
        <v>1195000</v>
      </c>
      <c r="F425" s="8" t="n">
        <v>94</v>
      </c>
      <c r="G425" s="8" t="n"/>
      <c r="H425" s="8" t="n"/>
      <c r="I425" s="9">
        <f>IFERROR(E425/F425,"")</f>
        <v/>
      </c>
      <c r="J425" t="n">
        <v>2</v>
      </c>
      <c r="K425" t="n">
        <v>2</v>
      </c>
      <c r="P425" t="inlineStr">
        <is>
          <t>LISTED</t>
        </is>
      </c>
      <c r="S425" t="n">
        <v>33.57055273257376</v>
      </c>
      <c r="T425" t="n">
        <v>-7.625108632411627</v>
      </c>
      <c r="U425" s="7" t="n">
        <v>6874</v>
      </c>
      <c r="V425" t="inlineStr"/>
      <c r="W425" s="10" t="inlineStr">
        <is>
          <t>https://yakeey.com/fr-ma/achat/biens/184393</t>
        </is>
      </c>
    </row>
    <row r="426">
      <c r="A426" s="2" t="inlineStr">
        <is>
          <t>184496</t>
        </is>
      </c>
      <c r="B426" s="2" t="inlineStr">
        <is>
          <t>APARTMENT</t>
        </is>
      </c>
      <c r="C426" s="2" t="inlineStr">
        <is>
          <t>Oulfa</t>
        </is>
      </c>
      <c r="D426" s="2" t="inlineStr">
        <is>
          <t>Casablanca</t>
        </is>
      </c>
      <c r="E426" s="3" t="n">
        <v>695000</v>
      </c>
      <c r="F426" s="4" t="n">
        <v>66</v>
      </c>
      <c r="G426" s="4" t="n"/>
      <c r="H426" s="4" t="n"/>
      <c r="I426" s="5">
        <f>IFERROR(E426/F426,"")</f>
        <v/>
      </c>
      <c r="J426" s="2" t="n">
        <v>2</v>
      </c>
      <c r="K426" s="2" t="n">
        <v>1</v>
      </c>
      <c r="L426" s="2" t="n"/>
      <c r="M426" s="2" t="n"/>
      <c r="N426" s="2" t="n"/>
      <c r="O426" s="2" t="n"/>
      <c r="P426" s="2" t="inlineStr">
        <is>
          <t>LISTED</t>
        </is>
      </c>
      <c r="Q426" s="2" t="n"/>
      <c r="R426" s="2" t="n"/>
      <c r="S426" s="2" t="n">
        <v>33.55119869782702</v>
      </c>
      <c r="T426" s="2" t="n">
        <v>-7.695899709467077</v>
      </c>
      <c r="U426" s="3" t="n">
        <v>3998</v>
      </c>
      <c r="V426" s="2" t="inlineStr"/>
      <c r="W426" s="6" t="inlineStr">
        <is>
          <t>https://yakeey.com/fr-ma/achat/biens/184496</t>
        </is>
      </c>
    </row>
    <row r="427">
      <c r="A427" t="inlineStr">
        <is>
          <t>184510</t>
        </is>
      </c>
      <c r="B427" t="inlineStr">
        <is>
          <t>APARTMENT</t>
        </is>
      </c>
      <c r="C427" t="inlineStr">
        <is>
          <t>Californie</t>
        </is>
      </c>
      <c r="D427" t="inlineStr">
        <is>
          <t>Casablanca</t>
        </is>
      </c>
      <c r="E427" s="7" t="n">
        <v>2100000</v>
      </c>
      <c r="F427" s="8" t="n">
        <v>111</v>
      </c>
      <c r="G427" s="8" t="n"/>
      <c r="H427" s="8" t="n"/>
      <c r="I427" s="9">
        <f>IFERROR(E427/F427,"")</f>
        <v/>
      </c>
      <c r="J427" t="n">
        <v>3</v>
      </c>
      <c r="K427" t="n">
        <v>2</v>
      </c>
      <c r="P427" t="inlineStr">
        <is>
          <t>LISTED</t>
        </is>
      </c>
      <c r="S427" t="n">
        <v>33.52505329446078</v>
      </c>
      <c r="T427" t="n">
        <v>-7.603955352398093</v>
      </c>
      <c r="U427" s="7" t="n">
        <v>12081</v>
      </c>
      <c r="V427" t="inlineStr"/>
      <c r="W427" s="10" t="inlineStr">
        <is>
          <t>https://yakeey.com/fr-ma/achat/biens/184510</t>
        </is>
      </c>
    </row>
    <row r="428">
      <c r="A428" s="2" t="inlineStr">
        <is>
          <t>184600</t>
        </is>
      </c>
      <c r="B428" s="2" t="inlineStr">
        <is>
          <t>APARTMENT</t>
        </is>
      </c>
      <c r="C428" s="2" t="inlineStr">
        <is>
          <t>Belvedere (Roches Noires)</t>
        </is>
      </c>
      <c r="D428" s="2" t="inlineStr">
        <is>
          <t>Casablanca</t>
        </is>
      </c>
      <c r="E428" s="3" t="n">
        <v>1395900</v>
      </c>
      <c r="F428" s="4" t="n">
        <v>114</v>
      </c>
      <c r="G428" s="4" t="n"/>
      <c r="H428" s="4" t="n"/>
      <c r="I428" s="5">
        <f>IFERROR(E428/F428,"")</f>
        <v/>
      </c>
      <c r="J428" s="2" t="n">
        <v>3</v>
      </c>
      <c r="K428" s="2" t="n">
        <v>2</v>
      </c>
      <c r="L428" s="2" t="n"/>
      <c r="M428" s="2" t="n"/>
      <c r="N428" s="2" t="n"/>
      <c r="O428" s="2" t="n"/>
      <c r="P428" s="2" t="inlineStr">
        <is>
          <t>LISTED</t>
        </is>
      </c>
      <c r="Q428" s="2" t="n"/>
      <c r="R428" s="2" t="n"/>
      <c r="S428" s="2" t="n">
        <v>33.58685058464203</v>
      </c>
      <c r="T428" s="2" t="n">
        <v>-7.598800689726466</v>
      </c>
      <c r="U428" s="3" t="n">
        <v>8030</v>
      </c>
      <c r="V428" s="2" t="inlineStr"/>
      <c r="W428" s="6" t="inlineStr">
        <is>
          <t>https://yakeey.com/fr-ma/achat/biens/184600</t>
        </is>
      </c>
    </row>
    <row r="429">
      <c r="A429" t="inlineStr">
        <is>
          <t>184639</t>
        </is>
      </c>
      <c r="B429" t="inlineStr">
        <is>
          <t>APARTMENT</t>
        </is>
      </c>
      <c r="C429" t="inlineStr">
        <is>
          <t>Oulfa</t>
        </is>
      </c>
      <c r="D429" t="inlineStr">
        <is>
          <t>Casablanca</t>
        </is>
      </c>
      <c r="E429" s="7" t="n">
        <v>1300000</v>
      </c>
      <c r="F429" s="8" t="n">
        <v>131</v>
      </c>
      <c r="G429" s="8" t="n"/>
      <c r="H429" s="8" t="n"/>
      <c r="I429" s="9">
        <f>IFERROR(E429/F429,"")</f>
        <v/>
      </c>
      <c r="J429" t="n">
        <v>3</v>
      </c>
      <c r="K429" t="n">
        <v>1</v>
      </c>
      <c r="P429" t="inlineStr">
        <is>
          <t>LISTED</t>
        </is>
      </c>
      <c r="S429" t="n">
        <v>33.56312206440691</v>
      </c>
      <c r="T429" t="n">
        <v>-7.674873232904813</v>
      </c>
      <c r="U429" s="7" t="n">
        <v>7478</v>
      </c>
      <c r="V429" t="inlineStr"/>
      <c r="W429" s="10" t="inlineStr">
        <is>
          <t>https://yakeey.com/fr-ma/achat/biens/184639</t>
        </is>
      </c>
    </row>
    <row r="430">
      <c r="A430" s="2" t="inlineStr">
        <is>
          <t>184727</t>
        </is>
      </c>
      <c r="B430" s="2" t="inlineStr">
        <is>
          <t>APARTMENT</t>
        </is>
      </c>
      <c r="C430" s="2" t="inlineStr">
        <is>
          <t>Hopitaux</t>
        </is>
      </c>
      <c r="D430" s="2" t="inlineStr">
        <is>
          <t>Casablanca</t>
        </is>
      </c>
      <c r="E430" s="3" t="n">
        <v>3650000</v>
      </c>
      <c r="F430" s="4" t="n">
        <v>245</v>
      </c>
      <c r="G430" s="4" t="n"/>
      <c r="H430" s="4" t="n"/>
      <c r="I430" s="5">
        <f>IFERROR(E430/F430,"")</f>
        <v/>
      </c>
      <c r="J430" s="2" t="n">
        <v>4</v>
      </c>
      <c r="K430" s="2" t="n">
        <v>3</v>
      </c>
      <c r="L430" s="2" t="n"/>
      <c r="M430" s="2" t="n"/>
      <c r="N430" s="2" t="n"/>
      <c r="O430" s="2" t="n"/>
      <c r="P430" s="2" t="inlineStr">
        <is>
          <t>LISTED</t>
        </is>
      </c>
      <c r="Q430" s="2" t="n"/>
      <c r="R430" s="2" t="n"/>
      <c r="S430" s="2" t="n">
        <v>33.57379167646036</v>
      </c>
      <c r="T430" s="2" t="n">
        <v>-7.626775947805794</v>
      </c>
      <c r="U430" s="3" t="n">
        <v>20998</v>
      </c>
      <c r="V430" s="2" t="inlineStr"/>
      <c r="W430" s="6" t="inlineStr">
        <is>
          <t>https://yakeey.com/fr-ma/achat/biens/184727</t>
        </is>
      </c>
    </row>
    <row r="431">
      <c r="A431" t="inlineStr">
        <is>
          <t>184806</t>
        </is>
      </c>
      <c r="B431" t="inlineStr">
        <is>
          <t>APARTMENT</t>
        </is>
      </c>
      <c r="C431" t="inlineStr">
        <is>
          <t>Maarif</t>
        </is>
      </c>
      <c r="D431" t="inlineStr">
        <is>
          <t>Casablanca</t>
        </is>
      </c>
      <c r="E431" s="7" t="n">
        <v>5200000</v>
      </c>
      <c r="F431" s="8" t="n">
        <v>283</v>
      </c>
      <c r="G431" s="8" t="n"/>
      <c r="H431" s="8" t="n"/>
      <c r="I431" s="9">
        <f>IFERROR(E431/F431,"")</f>
        <v/>
      </c>
      <c r="J431" t="n">
        <v>3</v>
      </c>
      <c r="K431" t="n">
        <v>3</v>
      </c>
      <c r="P431" t="inlineStr">
        <is>
          <t>LISTED</t>
        </is>
      </c>
      <c r="S431" t="n">
        <v>33.58647906800301</v>
      </c>
      <c r="T431" t="n">
        <v>-7.637325445035224</v>
      </c>
      <c r="U431" s="7" t="n">
        <v>29915</v>
      </c>
      <c r="V431" t="inlineStr"/>
      <c r="W431" s="10" t="inlineStr">
        <is>
          <t>https://yakeey.com/fr-ma/achat/biens/184806</t>
        </is>
      </c>
    </row>
    <row r="432">
      <c r="A432" s="2" t="inlineStr">
        <is>
          <t>184844</t>
        </is>
      </c>
      <c r="B432" s="2" t="inlineStr">
        <is>
          <t>APARTMENT</t>
        </is>
      </c>
      <c r="C432" s="2" t="inlineStr">
        <is>
          <t>Gauthier</t>
        </is>
      </c>
      <c r="D432" s="2" t="inlineStr">
        <is>
          <t>Casablanca</t>
        </is>
      </c>
      <c r="E432" s="3" t="n">
        <v>2595000</v>
      </c>
      <c r="F432" s="4" t="n">
        <v>145</v>
      </c>
      <c r="G432" s="4" t="n"/>
      <c r="H432" s="4" t="n"/>
      <c r="I432" s="5">
        <f>IFERROR(E432/F432,"")</f>
        <v/>
      </c>
      <c r="J432" s="2" t="n">
        <v>2</v>
      </c>
      <c r="K432" s="2" t="n">
        <v>2</v>
      </c>
      <c r="L432" s="2" t="n"/>
      <c r="M432" s="2" t="n"/>
      <c r="N432" s="2" t="n"/>
      <c r="O432" s="2" t="n"/>
      <c r="P432" s="2" t="inlineStr">
        <is>
          <t>LISTED</t>
        </is>
      </c>
      <c r="Q432" s="2" t="n"/>
      <c r="R432" s="2" t="n"/>
      <c r="S432" s="2" t="n">
        <v>33.58653614346789</v>
      </c>
      <c r="T432" s="2" t="n">
        <v>-7.631635212840244</v>
      </c>
      <c r="U432" s="3" t="n">
        <v>14929</v>
      </c>
      <c r="V432" s="2" t="inlineStr"/>
      <c r="W432" s="6" t="inlineStr">
        <is>
          <t>https://yakeey.com/fr-ma/achat/biens/184844</t>
        </is>
      </c>
    </row>
    <row r="433">
      <c r="A433" t="inlineStr">
        <is>
          <t>184882</t>
        </is>
      </c>
      <c r="B433" t="inlineStr">
        <is>
          <t>APARTMENT</t>
        </is>
      </c>
      <c r="C433" t="inlineStr">
        <is>
          <t>Maarif Extension</t>
        </is>
      </c>
      <c r="D433" t="inlineStr">
        <is>
          <t>Casablanca</t>
        </is>
      </c>
      <c r="E433" s="7" t="n">
        <v>2600000</v>
      </c>
      <c r="F433" s="8" t="n">
        <v>206</v>
      </c>
      <c r="G433" s="8" t="n"/>
      <c r="H433" s="8" t="n"/>
      <c r="I433" s="9">
        <f>IFERROR(E433/F433,"")</f>
        <v/>
      </c>
      <c r="J433" t="n">
        <v>3</v>
      </c>
      <c r="K433" t="n">
        <v>3</v>
      </c>
      <c r="P433" t="inlineStr">
        <is>
          <t>LISTED</t>
        </is>
      </c>
      <c r="S433" t="n">
        <v>33.5693407235055</v>
      </c>
      <c r="T433" t="n">
        <v>-7.644864432942941</v>
      </c>
      <c r="U433" s="7" t="n">
        <v>14957</v>
      </c>
      <c r="V433" t="inlineStr"/>
      <c r="W433" s="10" t="inlineStr">
        <is>
          <t>https://yakeey.com/fr-ma/achat/biens/184882</t>
        </is>
      </c>
    </row>
    <row r="434">
      <c r="A434" s="2" t="inlineStr">
        <is>
          <t>185145</t>
        </is>
      </c>
      <c r="B434" s="2" t="inlineStr">
        <is>
          <t>APARTMENT</t>
        </is>
      </c>
      <c r="C434" s="2" t="inlineStr">
        <is>
          <t>Ain Sebaa</t>
        </is>
      </c>
      <c r="D434" s="2" t="inlineStr">
        <is>
          <t>Casablanca</t>
        </is>
      </c>
      <c r="E434" s="3" t="n">
        <v>1062500</v>
      </c>
      <c r="F434" s="4" t="n">
        <v>85</v>
      </c>
      <c r="G434" s="4" t="n"/>
      <c r="H434" s="4" t="n"/>
      <c r="I434" s="5">
        <f>IFERROR(E434/F434,"")</f>
        <v/>
      </c>
      <c r="J434" s="2" t="n">
        <v>2</v>
      </c>
      <c r="K434" s="2" t="n">
        <v>2</v>
      </c>
      <c r="L434" s="2" t="n"/>
      <c r="M434" s="2" t="n"/>
      <c r="N434" s="2" t="n"/>
      <c r="O434" s="2" t="n"/>
      <c r="P434" s="2" t="inlineStr">
        <is>
          <t>LISTED</t>
        </is>
      </c>
      <c r="Q434" s="2" t="n"/>
      <c r="R434" s="2" t="n"/>
      <c r="S434" s="2" t="n">
        <v>33.60017299356164</v>
      </c>
      <c r="T434" s="2" t="n">
        <v>-7.574199712226009</v>
      </c>
      <c r="U434" s="3" t="n">
        <v>6112</v>
      </c>
      <c r="V434" s="2" t="inlineStr"/>
      <c r="W434" s="6" t="inlineStr">
        <is>
          <t>https://yakeey.com/fr-ma/achat/biens/185145</t>
        </is>
      </c>
    </row>
    <row r="435">
      <c r="A435" t="inlineStr">
        <is>
          <t>185234</t>
        </is>
      </c>
      <c r="B435" t="inlineStr">
        <is>
          <t>APARTMENT</t>
        </is>
      </c>
      <c r="C435" t="inlineStr">
        <is>
          <t>Bourgogne (Anfa)</t>
        </is>
      </c>
      <c r="D435" t="inlineStr">
        <is>
          <t>Casablanca</t>
        </is>
      </c>
      <c r="E435" s="7" t="n">
        <v>1900000</v>
      </c>
      <c r="F435" s="8" t="n">
        <v>122</v>
      </c>
      <c r="G435" s="8" t="n"/>
      <c r="H435" s="8" t="n"/>
      <c r="I435" s="9">
        <f>IFERROR(E435/F435,"")</f>
        <v/>
      </c>
      <c r="J435" t="n">
        <v>3</v>
      </c>
      <c r="K435" t="n">
        <v>1</v>
      </c>
      <c r="P435" t="inlineStr">
        <is>
          <t>LISTED</t>
        </is>
      </c>
      <c r="S435" t="n">
        <v>33.6003027061324</v>
      </c>
      <c r="T435" t="n">
        <v>-7.640265782346502</v>
      </c>
      <c r="U435" s="7" t="n">
        <v>10930</v>
      </c>
      <c r="V435" t="inlineStr"/>
      <c r="W435" s="10" t="inlineStr">
        <is>
          <t>https://yakeey.com/fr-ma/achat/biens/185234</t>
        </is>
      </c>
    </row>
    <row r="436">
      <c r="A436" s="2" t="inlineStr">
        <is>
          <t>185317</t>
        </is>
      </c>
      <c r="B436" s="2" t="inlineStr">
        <is>
          <t>APARTMENT</t>
        </is>
      </c>
      <c r="C436" s="2" t="inlineStr">
        <is>
          <t>Maarif</t>
        </is>
      </c>
      <c r="D436" s="2" t="inlineStr">
        <is>
          <t>Casablanca</t>
        </is>
      </c>
      <c r="E436" s="3" t="n">
        <v>1850000</v>
      </c>
      <c r="F436" s="4" t="n">
        <v>130</v>
      </c>
      <c r="G436" s="4" t="n"/>
      <c r="H436" s="4" t="n"/>
      <c r="I436" s="5">
        <f>IFERROR(E436/F436,"")</f>
        <v/>
      </c>
      <c r="J436" s="2" t="n">
        <v>2</v>
      </c>
      <c r="K436" s="2" t="n">
        <v>1</v>
      </c>
      <c r="L436" s="2" t="n"/>
      <c r="M436" s="2" t="n"/>
      <c r="N436" s="2" t="n"/>
      <c r="O436" s="2" t="n"/>
      <c r="P436" s="2" t="inlineStr">
        <is>
          <t>LISTED</t>
        </is>
      </c>
      <c r="Q436" s="2" t="n"/>
      <c r="R436" s="2" t="n"/>
      <c r="S436" s="2" t="n">
        <v>33.58230232623241</v>
      </c>
      <c r="T436" s="2" t="n">
        <v>-7.634549503054386</v>
      </c>
      <c r="U436" s="3" t="n">
        <v>10643</v>
      </c>
      <c r="V436" s="2" t="inlineStr"/>
      <c r="W436" s="6" t="inlineStr">
        <is>
          <t>https://yakeey.com/fr-ma/achat/biens/185317</t>
        </is>
      </c>
    </row>
    <row r="437">
      <c r="A437" t="inlineStr">
        <is>
          <t>185366</t>
        </is>
      </c>
      <c r="B437" t="inlineStr">
        <is>
          <t>APARTMENT</t>
        </is>
      </c>
      <c r="C437" t="inlineStr">
        <is>
          <t>Hopitaux</t>
        </is>
      </c>
      <c r="D437" t="inlineStr">
        <is>
          <t>Casablanca</t>
        </is>
      </c>
      <c r="E437" s="7" t="n">
        <v>2060000</v>
      </c>
      <c r="F437" s="8" t="n">
        <v>137</v>
      </c>
      <c r="G437" s="8" t="n"/>
      <c r="H437" s="8" t="n"/>
      <c r="I437" s="9">
        <f>IFERROR(E437/F437,"")</f>
        <v/>
      </c>
      <c r="J437" t="n">
        <v>3</v>
      </c>
      <c r="K437" t="n">
        <v>2</v>
      </c>
      <c r="P437" t="inlineStr">
        <is>
          <t>LISTED</t>
        </is>
      </c>
      <c r="S437" t="n">
        <v>33.57118762976081</v>
      </c>
      <c r="T437" t="n">
        <v>-7.620534842880065</v>
      </c>
      <c r="U437" s="7" t="n">
        <v>11851</v>
      </c>
      <c r="V437" t="inlineStr"/>
      <c r="W437" s="10" t="inlineStr">
        <is>
          <t>https://yakeey.com/fr-ma/achat/biens/185366</t>
        </is>
      </c>
    </row>
    <row r="438">
      <c r="A438" s="2" t="inlineStr">
        <is>
          <t>185371</t>
        </is>
      </c>
      <c r="B438" s="2" t="inlineStr">
        <is>
          <t>APARTMENT</t>
        </is>
      </c>
      <c r="C438" s="2" t="inlineStr">
        <is>
          <t>Beausejour</t>
        </is>
      </c>
      <c r="D438" s="2" t="inlineStr">
        <is>
          <t>Casablanca</t>
        </is>
      </c>
      <c r="E438" s="3" t="n">
        <v>979000</v>
      </c>
      <c r="F438" s="4" t="n">
        <v>89</v>
      </c>
      <c r="G438" s="4" t="n"/>
      <c r="H438" s="4" t="n"/>
      <c r="I438" s="5">
        <f>IFERROR(E438/F438,"")</f>
        <v/>
      </c>
      <c r="J438" s="2" t="n">
        <v>2</v>
      </c>
      <c r="K438" s="2" t="n">
        <v>1</v>
      </c>
      <c r="L438" s="2" t="n"/>
      <c r="M438" s="2" t="n"/>
      <c r="N438" s="2" t="n"/>
      <c r="O438" s="2" t="n"/>
      <c r="P438" s="2" t="inlineStr">
        <is>
          <t>LISTED</t>
        </is>
      </c>
      <c r="Q438" s="2" t="n"/>
      <c r="R438" s="2" t="n"/>
      <c r="S438" s="2" t="n">
        <v>33.56700451631337</v>
      </c>
      <c r="T438" s="2" t="n">
        <v>-7.650126738989043</v>
      </c>
      <c r="U438" s="3" t="n">
        <v>5632</v>
      </c>
      <c r="V438" s="2" t="inlineStr"/>
      <c r="W438" s="6" t="inlineStr">
        <is>
          <t>https://yakeey.com/fr-ma/achat/biens/185371</t>
        </is>
      </c>
    </row>
    <row r="439">
      <c r="A439" t="inlineStr">
        <is>
          <t>185417</t>
        </is>
      </c>
      <c r="B439" t="inlineStr">
        <is>
          <t>APARTMENT</t>
        </is>
      </c>
      <c r="C439" t="inlineStr">
        <is>
          <t>Oasis</t>
        </is>
      </c>
      <c r="D439" t="inlineStr">
        <is>
          <t>Casablanca</t>
        </is>
      </c>
      <c r="E439" s="7" t="n">
        <v>2100000</v>
      </c>
      <c r="F439" s="8" t="n">
        <v>110</v>
      </c>
      <c r="G439" s="8" t="n"/>
      <c r="H439" s="8" t="n"/>
      <c r="I439" s="9">
        <f>IFERROR(E439/F439,"")</f>
        <v/>
      </c>
      <c r="J439" t="n">
        <v>2</v>
      </c>
      <c r="K439" t="n">
        <v>2</v>
      </c>
      <c r="P439" t="inlineStr">
        <is>
          <t>LISTED</t>
        </is>
      </c>
      <c r="S439" t="n">
        <v>33.559169196939</v>
      </c>
      <c r="T439" t="n">
        <v>-7.632742202850624</v>
      </c>
      <c r="U439" s="7" t="n">
        <v>12081</v>
      </c>
      <c r="V439" t="inlineStr"/>
      <c r="W439" s="10" t="inlineStr">
        <is>
          <t>https://yakeey.com/fr-ma/achat/biens/185417</t>
        </is>
      </c>
    </row>
    <row r="440">
      <c r="A440" s="2" t="inlineStr">
        <is>
          <t>185506</t>
        </is>
      </c>
      <c r="B440" s="2" t="inlineStr">
        <is>
          <t>APARTMENT</t>
        </is>
      </c>
      <c r="C440" s="2" t="inlineStr">
        <is>
          <t>Alsace Loraine</t>
        </is>
      </c>
      <c r="D440" s="2" t="inlineStr">
        <is>
          <t>Casablanca</t>
        </is>
      </c>
      <c r="E440" s="3" t="n">
        <v>1300000</v>
      </c>
      <c r="F440" s="4" t="n">
        <v>124</v>
      </c>
      <c r="G440" s="4" t="n"/>
      <c r="H440" s="4" t="n"/>
      <c r="I440" s="5">
        <f>IFERROR(E440/F440,"")</f>
        <v/>
      </c>
      <c r="J440" s="2" t="n">
        <v>2</v>
      </c>
      <c r="K440" s="2" t="n">
        <v>1</v>
      </c>
      <c r="L440" s="2" t="n"/>
      <c r="M440" s="2" t="n"/>
      <c r="N440" s="2" t="n"/>
      <c r="O440" s="2" t="n"/>
      <c r="P440" s="2" t="inlineStr">
        <is>
          <t>LISTED</t>
        </is>
      </c>
      <c r="Q440" s="2" t="n"/>
      <c r="R440" s="2" t="n"/>
      <c r="S440" s="2" t="n">
        <v>33.58551149693226</v>
      </c>
      <c r="T440" s="2" t="n">
        <v>-7.620882342819175</v>
      </c>
      <c r="U440" s="3" t="n">
        <v>7478</v>
      </c>
      <c r="V440" s="2" t="inlineStr"/>
      <c r="W440" s="6" t="inlineStr">
        <is>
          <t>https://yakeey.com/fr-ma/achat/biens/185506</t>
        </is>
      </c>
    </row>
    <row r="441">
      <c r="A441" t="inlineStr">
        <is>
          <t>185565</t>
        </is>
      </c>
      <c r="B441" t="inlineStr">
        <is>
          <t>APARTMENT</t>
        </is>
      </c>
      <c r="C441" t="inlineStr">
        <is>
          <t>Sidi Moumen</t>
        </is>
      </c>
      <c r="D441" t="inlineStr">
        <is>
          <t>Casablanca</t>
        </is>
      </c>
      <c r="E441" s="7" t="n">
        <v>520000</v>
      </c>
      <c r="F441" s="8" t="n">
        <v>62</v>
      </c>
      <c r="G441" s="8" t="n"/>
      <c r="H441" s="8" t="n"/>
      <c r="I441" s="9">
        <f>IFERROR(E441/F441,"")</f>
        <v/>
      </c>
      <c r="J441" t="n">
        <v>2</v>
      </c>
      <c r="K441" t="n">
        <v>1</v>
      </c>
      <c r="P441" t="inlineStr">
        <is>
          <t>LISTED</t>
        </is>
      </c>
      <c r="S441" t="n">
        <v>33.5818741138045</v>
      </c>
      <c r="T441" t="n">
        <v>-7.524594156399623</v>
      </c>
      <c r="U441" s="7" t="n">
        <v>2991</v>
      </c>
      <c r="V441" t="inlineStr"/>
      <c r="W441" s="10" t="inlineStr">
        <is>
          <t>https://yakeey.com/fr-ma/achat/biens/185565</t>
        </is>
      </c>
    </row>
    <row r="442">
      <c r="A442" s="2" t="inlineStr">
        <is>
          <t>185628</t>
        </is>
      </c>
      <c r="B442" s="2" t="inlineStr">
        <is>
          <t>APARTMENT</t>
        </is>
      </c>
      <c r="C442" s="2" t="inlineStr">
        <is>
          <t>Oulfa</t>
        </is>
      </c>
      <c r="D442" s="2" t="inlineStr">
        <is>
          <t>Casablanca</t>
        </is>
      </c>
      <c r="E442" s="3" t="n">
        <v>1050000</v>
      </c>
      <c r="F442" s="4" t="n">
        <v>60</v>
      </c>
      <c r="G442" s="4" t="n"/>
      <c r="H442" s="4" t="n"/>
      <c r="I442" s="5">
        <f>IFERROR(E442/F442,"")</f>
        <v/>
      </c>
      <c r="J442" s="2" t="n">
        <v>2</v>
      </c>
      <c r="K442" s="2" t="n">
        <v>2</v>
      </c>
      <c r="L442" s="2" t="n"/>
      <c r="M442" s="2" t="n"/>
      <c r="N442" s="2" t="n"/>
      <c r="O442" s="2" t="n"/>
      <c r="P442" s="2" t="inlineStr">
        <is>
          <t>LISTED</t>
        </is>
      </c>
      <c r="Q442" s="2" t="n"/>
      <c r="R442" s="2" t="n"/>
      <c r="S442" s="2" t="n">
        <v>33.54842458723337</v>
      </c>
      <c r="T442" s="2" t="n">
        <v>-7.678510369313445</v>
      </c>
      <c r="U442" s="3" t="n">
        <v>6040</v>
      </c>
      <c r="V442" s="2" t="inlineStr"/>
      <c r="W442" s="6" t="inlineStr">
        <is>
          <t>https://yakeey.com/fr-ma/achat/biens/185628</t>
        </is>
      </c>
    </row>
    <row r="443">
      <c r="A443" t="inlineStr">
        <is>
          <t>185668</t>
        </is>
      </c>
      <c r="B443" t="inlineStr">
        <is>
          <t>APARTMENT</t>
        </is>
      </c>
      <c r="C443" t="inlineStr">
        <is>
          <t>Mers Sultan</t>
        </is>
      </c>
      <c r="D443" t="inlineStr">
        <is>
          <t>Casablanca</t>
        </is>
      </c>
      <c r="E443" s="7" t="n">
        <v>2650000</v>
      </c>
      <c r="F443" s="8" t="n">
        <v>176</v>
      </c>
      <c r="G443" s="8" t="n"/>
      <c r="H443" s="8" t="n"/>
      <c r="I443" s="9">
        <f>IFERROR(E443/F443,"")</f>
        <v/>
      </c>
      <c r="J443" t="n">
        <v>3</v>
      </c>
      <c r="K443" t="n">
        <v>2</v>
      </c>
      <c r="P443" t="inlineStr">
        <is>
          <t>LISTED</t>
        </is>
      </c>
      <c r="S443" t="n">
        <v>33.57216779996337</v>
      </c>
      <c r="T443" t="n">
        <v>-7.61039538720755</v>
      </c>
      <c r="U443" s="7" t="n">
        <v>15245</v>
      </c>
      <c r="V443" t="inlineStr"/>
      <c r="W443" s="10" t="inlineStr">
        <is>
          <t>https://yakeey.com/fr-ma/achat/biens/185668</t>
        </is>
      </c>
    </row>
    <row r="444">
      <c r="A444" s="2" t="inlineStr">
        <is>
          <t>185814</t>
        </is>
      </c>
      <c r="B444" s="2" t="inlineStr">
        <is>
          <t>APARTMENT</t>
        </is>
      </c>
      <c r="C444" s="2" t="inlineStr">
        <is>
          <t>La Gironde</t>
        </is>
      </c>
      <c r="D444" s="2" t="inlineStr">
        <is>
          <t>Casablanca</t>
        </is>
      </c>
      <c r="E444" s="3" t="n">
        <v>2500000</v>
      </c>
      <c r="F444" s="4" t="n">
        <v>198</v>
      </c>
      <c r="G444" s="4" t="n"/>
      <c r="H444" s="4" t="n"/>
      <c r="I444" s="5">
        <f>IFERROR(E444/F444,"")</f>
        <v/>
      </c>
      <c r="J444" s="2" t="n">
        <v>4</v>
      </c>
      <c r="K444" s="2" t="n">
        <v>3</v>
      </c>
      <c r="L444" s="2" t="n"/>
      <c r="M444" s="2" t="n"/>
      <c r="N444" s="2" t="n"/>
      <c r="O444" s="2" t="n"/>
      <c r="P444" s="2" t="inlineStr">
        <is>
          <t>LISTED</t>
        </is>
      </c>
      <c r="Q444" s="2" t="n"/>
      <c r="R444" s="2" t="n"/>
      <c r="S444" s="2" t="n">
        <v>33.58377405476536</v>
      </c>
      <c r="T444" s="2" t="n">
        <v>-7.601377063691943</v>
      </c>
      <c r="U444" s="3" t="n">
        <v>14382</v>
      </c>
      <c r="V444" s="2" t="inlineStr"/>
      <c r="W444" s="6" t="inlineStr">
        <is>
          <t>https://yakeey.com/fr-ma/achat/biens/185814</t>
        </is>
      </c>
    </row>
    <row r="445">
      <c r="A445" t="inlineStr">
        <is>
          <t>185903</t>
        </is>
      </c>
      <c r="B445" t="inlineStr">
        <is>
          <t>APARTMENT</t>
        </is>
      </c>
      <c r="C445" t="inlineStr">
        <is>
          <t>Hopitaux</t>
        </is>
      </c>
      <c r="D445" t="inlineStr">
        <is>
          <t>Casablanca</t>
        </is>
      </c>
      <c r="E445" s="7" t="n">
        <v>1850000</v>
      </c>
      <c r="F445" s="8" t="n">
        <v>116</v>
      </c>
      <c r="G445" s="8" t="n"/>
      <c r="H445" s="8" t="n"/>
      <c r="I445" s="9">
        <f>IFERROR(E445/F445,"")</f>
        <v/>
      </c>
      <c r="J445" t="n">
        <v>3</v>
      </c>
      <c r="K445" t="n">
        <v>2</v>
      </c>
      <c r="P445" t="inlineStr">
        <is>
          <t>LISTED</t>
        </is>
      </c>
      <c r="S445" t="n">
        <v>33.58003022127757</v>
      </c>
      <c r="T445" t="n">
        <v>-7.618111998158101</v>
      </c>
      <c r="U445" s="7" t="n">
        <v>10643</v>
      </c>
      <c r="V445" t="inlineStr"/>
      <c r="W445" s="10" t="inlineStr">
        <is>
          <t>https://yakeey.com/fr-ma/achat/biens/185903</t>
        </is>
      </c>
    </row>
    <row r="446">
      <c r="A446" s="2" t="inlineStr">
        <is>
          <t>186015</t>
        </is>
      </c>
      <c r="B446" s="2" t="inlineStr">
        <is>
          <t>APARTMENT</t>
        </is>
      </c>
      <c r="C446" s="2" t="inlineStr">
        <is>
          <t>Bachkou</t>
        </is>
      </c>
      <c r="D446" s="2" t="inlineStr">
        <is>
          <t>Casablanca</t>
        </is>
      </c>
      <c r="E446" s="3" t="n">
        <v>2200000</v>
      </c>
      <c r="F446" s="4" t="n">
        <v>140</v>
      </c>
      <c r="G446" s="4" t="n"/>
      <c r="H446" s="4" t="n"/>
      <c r="I446" s="5">
        <f>IFERROR(E446/F446,"")</f>
        <v/>
      </c>
      <c r="J446" s="2" t="n">
        <v>3</v>
      </c>
      <c r="K446" s="2" t="n">
        <v>2</v>
      </c>
      <c r="L446" s="2" t="n"/>
      <c r="M446" s="2" t="n"/>
      <c r="N446" s="2" t="n"/>
      <c r="O446" s="2" t="n"/>
      <c r="P446" s="2" t="inlineStr">
        <is>
          <t>LISTED</t>
        </is>
      </c>
      <c r="Q446" s="2" t="n"/>
      <c r="R446" s="2" t="n"/>
      <c r="S446" s="2" t="n">
        <v>33.55245218334947</v>
      </c>
      <c r="T446" s="2" t="n">
        <v>-7.628812648522328</v>
      </c>
      <c r="U446" s="3" t="n">
        <v>12656</v>
      </c>
      <c r="V446" s="2" t="inlineStr"/>
      <c r="W446" s="6" t="inlineStr">
        <is>
          <t>https://yakeey.com/fr-ma/achat/biens/186015</t>
        </is>
      </c>
    </row>
    <row r="447">
      <c r="A447" t="inlineStr">
        <is>
          <t>186072</t>
        </is>
      </c>
      <c r="B447" t="inlineStr">
        <is>
          <t>APARTMENT</t>
        </is>
      </c>
      <c r="C447" t="inlineStr">
        <is>
          <t>Ferme Bretonne</t>
        </is>
      </c>
      <c r="D447" t="inlineStr">
        <is>
          <t>Casablanca</t>
        </is>
      </c>
      <c r="E447" s="7" t="n">
        <v>2450000</v>
      </c>
      <c r="F447" s="8" t="n">
        <v>136</v>
      </c>
      <c r="G447" s="8" t="n"/>
      <c r="H447" s="8" t="n"/>
      <c r="I447" s="9">
        <f>IFERROR(E447/F447,"")</f>
        <v/>
      </c>
      <c r="J447" t="n">
        <v>3</v>
      </c>
      <c r="K447" t="n">
        <v>2</v>
      </c>
      <c r="P447" t="inlineStr">
        <is>
          <t>LISTED</t>
        </is>
      </c>
      <c r="S447" t="n">
        <v>33.5549042212899</v>
      </c>
      <c r="T447" t="n">
        <v>-7.646370442824532</v>
      </c>
      <c r="U447" s="7" t="n">
        <v>14094</v>
      </c>
      <c r="V447" t="inlineStr"/>
      <c r="W447" s="10" t="inlineStr">
        <is>
          <t>https://yakeey.com/fr-ma/achat/biens/186072</t>
        </is>
      </c>
    </row>
    <row r="448">
      <c r="A448" s="2" t="inlineStr">
        <is>
          <t>186185</t>
        </is>
      </c>
      <c r="B448" s="2" t="inlineStr">
        <is>
          <t>APARTMENT</t>
        </is>
      </c>
      <c r="C448" s="2" t="inlineStr">
        <is>
          <t>Maarif Extension</t>
        </is>
      </c>
      <c r="D448" s="2" t="inlineStr">
        <is>
          <t>Casablanca</t>
        </is>
      </c>
      <c r="E448" s="3" t="n">
        <v>1394000</v>
      </c>
      <c r="F448" s="4" t="n">
        <v>116</v>
      </c>
      <c r="G448" s="4" t="n"/>
      <c r="H448" s="4" t="n"/>
      <c r="I448" s="5">
        <f>IFERROR(E448/F448,"")</f>
        <v/>
      </c>
      <c r="J448" s="2" t="n">
        <v>2</v>
      </c>
      <c r="K448" s="2" t="n">
        <v>2</v>
      </c>
      <c r="L448" s="2" t="n"/>
      <c r="M448" s="2" t="n"/>
      <c r="N448" s="2" t="n"/>
      <c r="O448" s="2" t="n"/>
      <c r="P448" s="2" t="inlineStr">
        <is>
          <t>LISTED</t>
        </is>
      </c>
      <c r="Q448" s="2" t="n"/>
      <c r="R448" s="2" t="n"/>
      <c r="S448" s="2" t="n">
        <v>33.57956063390894</v>
      </c>
      <c r="T448" s="2" t="n">
        <v>-7.643918098369451</v>
      </c>
      <c r="U448" s="3" t="n">
        <v>8019</v>
      </c>
      <c r="V448" s="2" t="inlineStr"/>
      <c r="W448" s="6" t="inlineStr">
        <is>
          <t>https://yakeey.com/fr-ma/achat/biens/186185</t>
        </is>
      </c>
    </row>
    <row r="449">
      <c r="A449" t="inlineStr">
        <is>
          <t>186219</t>
        </is>
      </c>
      <c r="B449" t="inlineStr">
        <is>
          <t>APARTMENT</t>
        </is>
      </c>
      <c r="C449" t="inlineStr">
        <is>
          <t>Racine</t>
        </is>
      </c>
      <c r="D449" t="inlineStr">
        <is>
          <t>Casablanca</t>
        </is>
      </c>
      <c r="E449" s="7" t="n">
        <v>2700000</v>
      </c>
      <c r="F449" s="8" t="n">
        <v>232</v>
      </c>
      <c r="G449" s="8" t="n"/>
      <c r="H449" s="8" t="n"/>
      <c r="I449" s="9">
        <f>IFERROR(E449/F449,"")</f>
        <v/>
      </c>
      <c r="J449" t="n">
        <v>4</v>
      </c>
      <c r="K449" t="n">
        <v>2</v>
      </c>
      <c r="P449" t="inlineStr">
        <is>
          <t>LISTED</t>
        </is>
      </c>
      <c r="S449" t="n">
        <v>33.5870737192006</v>
      </c>
      <c r="T449" t="n">
        <v>-7.638392476617486</v>
      </c>
      <c r="U449" s="7" t="n">
        <v>15533</v>
      </c>
      <c r="V449" t="inlineStr"/>
      <c r="W449" s="10" t="inlineStr">
        <is>
          <t>https://yakeey.com/fr-ma/achat/biens/186219</t>
        </is>
      </c>
    </row>
    <row r="450">
      <c r="A450" s="2" t="inlineStr">
        <is>
          <t>186477</t>
        </is>
      </c>
      <c r="B450" s="2" t="inlineStr">
        <is>
          <t>APARTMENT</t>
        </is>
      </c>
      <c r="C450" s="2" t="inlineStr">
        <is>
          <t>Beausejour</t>
        </is>
      </c>
      <c r="D450" s="2" t="inlineStr">
        <is>
          <t>Casablanca</t>
        </is>
      </c>
      <c r="E450" s="3" t="n">
        <v>1200000</v>
      </c>
      <c r="F450" s="4" t="n">
        <v>95</v>
      </c>
      <c r="G450" s="4" t="n"/>
      <c r="H450" s="4" t="n"/>
      <c r="I450" s="5">
        <f>IFERROR(E450/F450,"")</f>
        <v/>
      </c>
      <c r="J450" s="2" t="n">
        <v>2</v>
      </c>
      <c r="K450" s="2" t="n">
        <v>2</v>
      </c>
      <c r="L450" s="2" t="n"/>
      <c r="M450" s="2" t="n"/>
      <c r="N450" s="2" t="n"/>
      <c r="O450" s="2" t="n"/>
      <c r="P450" s="2" t="inlineStr">
        <is>
          <t>LISTED</t>
        </is>
      </c>
      <c r="Q450" s="2" t="n"/>
      <c r="R450" s="2" t="n"/>
      <c r="S450" s="2" t="n">
        <v>33.56758541402213</v>
      </c>
      <c r="T450" s="2" t="n">
        <v>-7.652787945632347</v>
      </c>
      <c r="U450" s="3" t="n">
        <v>6903</v>
      </c>
      <c r="V450" s="2" t="inlineStr"/>
      <c r="W450" s="6" t="inlineStr">
        <is>
          <t>https://yakeey.com/fr-ma/achat/biens/186477</t>
        </is>
      </c>
    </row>
    <row r="451">
      <c r="A451" t="inlineStr">
        <is>
          <t>186491</t>
        </is>
      </c>
      <c r="B451" t="inlineStr">
        <is>
          <t>APARTMENT</t>
        </is>
      </c>
      <c r="C451" t="inlineStr">
        <is>
          <t>Burger</t>
        </is>
      </c>
      <c r="D451" t="inlineStr">
        <is>
          <t>Casablanca</t>
        </is>
      </c>
      <c r="E451" s="7" t="n">
        <v>1950000</v>
      </c>
      <c r="F451" s="8" t="n">
        <v>206</v>
      </c>
      <c r="G451" s="8" t="n"/>
      <c r="H451" s="8" t="n"/>
      <c r="I451" s="9">
        <f>IFERROR(E451/F451,"")</f>
        <v/>
      </c>
      <c r="J451" t="n">
        <v>3</v>
      </c>
      <c r="K451" t="n">
        <v>2</v>
      </c>
      <c r="P451" t="inlineStr">
        <is>
          <t>LISTED</t>
        </is>
      </c>
      <c r="S451" t="n">
        <v>33.57050299085877</v>
      </c>
      <c r="T451" t="n">
        <v>-7.64636721284725</v>
      </c>
      <c r="U451" s="7" t="n">
        <v>11218</v>
      </c>
      <c r="V451" t="inlineStr"/>
      <c r="W451" s="10" t="inlineStr">
        <is>
          <t>https://yakeey.com/fr-ma/achat/biens/186491</t>
        </is>
      </c>
    </row>
    <row r="452">
      <c r="A452" s="2" t="inlineStr">
        <is>
          <t>186697</t>
        </is>
      </c>
      <c r="B452" s="2" t="inlineStr">
        <is>
          <t>APARTMENT</t>
        </is>
      </c>
      <c r="C452" s="2" t="inlineStr">
        <is>
          <t>Californie</t>
        </is>
      </c>
      <c r="D452" s="2" t="inlineStr">
        <is>
          <t>Casablanca</t>
        </is>
      </c>
      <c r="E452" s="3" t="n">
        <v>2000000</v>
      </c>
      <c r="F452" s="4" t="n">
        <v>121</v>
      </c>
      <c r="G452" s="4" t="n"/>
      <c r="H452" s="4" t="n"/>
      <c r="I452" s="5">
        <f>IFERROR(E452/F452,"")</f>
        <v/>
      </c>
      <c r="J452" s="2" t="n">
        <v>3</v>
      </c>
      <c r="K452" s="2" t="n">
        <v>1</v>
      </c>
      <c r="L452" s="2" t="n"/>
      <c r="M452" s="2" t="n"/>
      <c r="N452" s="2" t="n"/>
      <c r="O452" s="2" t="n"/>
      <c r="P452" s="2" t="inlineStr">
        <is>
          <t>LISTED</t>
        </is>
      </c>
      <c r="Q452" s="2" t="n"/>
      <c r="R452" s="2" t="n"/>
      <c r="S452" s="2" t="n">
        <v>33.52823736971295</v>
      </c>
      <c r="T452" s="2" t="n">
        <v>-7.610738806231183</v>
      </c>
      <c r="U452" s="3" t="n">
        <v>11506</v>
      </c>
      <c r="V452" s="2" t="inlineStr"/>
      <c r="W452" s="6" t="inlineStr">
        <is>
          <t>https://yakeey.com/fr-ma/achat/biens/186697</t>
        </is>
      </c>
    </row>
    <row r="453">
      <c r="A453" t="inlineStr">
        <is>
          <t>186909</t>
        </is>
      </c>
      <c r="B453" t="inlineStr">
        <is>
          <t>APARTMENT</t>
        </is>
      </c>
      <c r="C453" t="inlineStr">
        <is>
          <t>Maarif Extension</t>
        </is>
      </c>
      <c r="D453" t="inlineStr">
        <is>
          <t>Casablanca</t>
        </is>
      </c>
      <c r="E453" s="7" t="n">
        <v>2145000</v>
      </c>
      <c r="F453" s="8" t="n">
        <v>165</v>
      </c>
      <c r="G453" s="8" t="n"/>
      <c r="H453" s="8" t="n"/>
      <c r="I453" s="9">
        <f>IFERROR(E453/F453,"")</f>
        <v/>
      </c>
      <c r="J453" t="n">
        <v>3</v>
      </c>
      <c r="K453" t="n">
        <v>1</v>
      </c>
      <c r="P453" t="inlineStr">
        <is>
          <t>LISTED</t>
        </is>
      </c>
      <c r="S453" t="n">
        <v>33.57327195293157</v>
      </c>
      <c r="T453" t="n">
        <v>-7.640691060520786</v>
      </c>
      <c r="U453" s="7" t="n">
        <v>12340</v>
      </c>
      <c r="V453" t="inlineStr"/>
      <c r="W453" s="10" t="inlineStr">
        <is>
          <t>https://yakeey.com/fr-ma/achat/biens/186909</t>
        </is>
      </c>
    </row>
    <row r="454">
      <c r="A454" s="2" t="inlineStr">
        <is>
          <t>187032</t>
        </is>
      </c>
      <c r="B454" s="2" t="inlineStr">
        <is>
          <t>APARTMENT</t>
        </is>
      </c>
      <c r="C454" s="2" t="inlineStr">
        <is>
          <t>Ain Sebaa</t>
        </is>
      </c>
      <c r="D454" s="2" t="inlineStr">
        <is>
          <t>Casablanca</t>
        </is>
      </c>
      <c r="E454" s="3" t="n">
        <v>1200000</v>
      </c>
      <c r="F454" s="4" t="n">
        <v>90</v>
      </c>
      <c r="G454" s="4" t="n"/>
      <c r="H454" s="4" t="n"/>
      <c r="I454" s="5">
        <f>IFERROR(E454/F454,"")</f>
        <v/>
      </c>
      <c r="J454" s="2" t="n">
        <v>3</v>
      </c>
      <c r="K454" s="2" t="n">
        <v>2</v>
      </c>
      <c r="L454" s="2" t="n"/>
      <c r="M454" s="2" t="n"/>
      <c r="N454" s="2" t="n"/>
      <c r="O454" s="2" t="n"/>
      <c r="P454" s="2" t="inlineStr">
        <is>
          <t>LISTED</t>
        </is>
      </c>
      <c r="Q454" s="2" t="n"/>
      <c r="R454" s="2" t="n"/>
      <c r="S454" s="2" t="n">
        <v>33.59981683185775</v>
      </c>
      <c r="T454" s="2" t="n">
        <v>-7.534554072935684</v>
      </c>
      <c r="U454" s="3" t="n">
        <v>6903</v>
      </c>
      <c r="V454" s="2" t="inlineStr"/>
      <c r="W454" s="6" t="inlineStr">
        <is>
          <t>https://yakeey.com/fr-ma/achat/biens/187032</t>
        </is>
      </c>
    </row>
    <row r="455">
      <c r="A455" t="inlineStr">
        <is>
          <t>187035</t>
        </is>
      </c>
      <c r="B455" t="inlineStr">
        <is>
          <t>APARTMENT</t>
        </is>
      </c>
      <c r="C455" t="inlineStr">
        <is>
          <t>Sidi Maarouf</t>
        </is>
      </c>
      <c r="D455" t="inlineStr">
        <is>
          <t>Casablanca</t>
        </is>
      </c>
      <c r="E455" s="7" t="n">
        <v>1200000</v>
      </c>
      <c r="F455" s="8" t="n">
        <v>84</v>
      </c>
      <c r="G455" s="8" t="n"/>
      <c r="H455" s="8" t="n"/>
      <c r="I455" s="9">
        <f>IFERROR(E455/F455,"")</f>
        <v/>
      </c>
      <c r="J455" t="n">
        <v>2</v>
      </c>
      <c r="K455" t="n">
        <v>2</v>
      </c>
      <c r="P455" t="inlineStr">
        <is>
          <t>LISTED</t>
        </is>
      </c>
      <c r="S455" t="n">
        <v>33.51932558664068</v>
      </c>
      <c r="T455" t="n">
        <v>-7.653888254303546</v>
      </c>
      <c r="U455" s="7" t="n">
        <v>6903</v>
      </c>
      <c r="V455" t="inlineStr"/>
      <c r="W455" s="10" t="inlineStr">
        <is>
          <t>https://yakeey.com/fr-ma/achat/biens/187035</t>
        </is>
      </c>
    </row>
    <row r="456">
      <c r="A456" s="2" t="inlineStr">
        <is>
          <t>187077</t>
        </is>
      </c>
      <c r="B456" s="2" t="inlineStr">
        <is>
          <t>APARTMENT</t>
        </is>
      </c>
      <c r="C456" s="2" t="inlineStr">
        <is>
          <t>Bourgogne (Sidi Belyout)</t>
        </is>
      </c>
      <c r="D456" s="2" t="inlineStr">
        <is>
          <t>Casablanca</t>
        </is>
      </c>
      <c r="E456" s="3" t="n">
        <v>1660000</v>
      </c>
      <c r="F456" s="4" t="n">
        <v>131</v>
      </c>
      <c r="G456" s="4" t="n"/>
      <c r="H456" s="4" t="n"/>
      <c r="I456" s="5">
        <f>IFERROR(E456/F456,"")</f>
        <v/>
      </c>
      <c r="J456" s="2" t="n">
        <v>2</v>
      </c>
      <c r="K456" s="2" t="n">
        <v>2</v>
      </c>
      <c r="L456" s="2" t="n"/>
      <c r="M456" s="2" t="n"/>
      <c r="N456" s="2" t="n"/>
      <c r="O456" s="2" t="n"/>
      <c r="P456" s="2" t="inlineStr">
        <is>
          <t>LISTED</t>
        </is>
      </c>
      <c r="Q456" s="2" t="n"/>
      <c r="R456" s="2" t="n"/>
      <c r="S456" s="2" t="n">
        <v>33.60638513117221</v>
      </c>
      <c r="T456" s="2" t="n">
        <v>-7.628164626929946</v>
      </c>
      <c r="U456" s="3" t="n">
        <v>9550</v>
      </c>
      <c r="V456" s="2" t="inlineStr"/>
      <c r="W456" s="6" t="inlineStr">
        <is>
          <t>https://yakeey.com/fr-ma/achat/biens/187077</t>
        </is>
      </c>
    </row>
    <row r="457">
      <c r="A457" t="inlineStr">
        <is>
          <t>187111</t>
        </is>
      </c>
      <c r="B457" t="inlineStr">
        <is>
          <t>APARTMENT</t>
        </is>
      </c>
      <c r="C457" t="inlineStr">
        <is>
          <t>Californie</t>
        </is>
      </c>
      <c r="D457" t="inlineStr">
        <is>
          <t>Casablanca</t>
        </is>
      </c>
      <c r="E457" s="7" t="n">
        <v>2116267</v>
      </c>
      <c r="F457" s="8" t="n">
        <v>151</v>
      </c>
      <c r="G457" s="8" t="n"/>
      <c r="H457" s="8" t="n"/>
      <c r="I457" s="9">
        <f>IFERROR(E457/F457,"")</f>
        <v/>
      </c>
      <c r="J457" t="n">
        <v>2</v>
      </c>
      <c r="K457" t="n">
        <v>2</v>
      </c>
      <c r="P457" t="inlineStr">
        <is>
          <t>LISTED</t>
        </is>
      </c>
      <c r="S457" t="n">
        <v>33.54260020583857</v>
      </c>
      <c r="T457" t="n">
        <v>-7.614019034706273</v>
      </c>
      <c r="U457" s="7" t="n">
        <v>12175</v>
      </c>
      <c r="V457" t="inlineStr"/>
      <c r="W457" s="10" t="inlineStr">
        <is>
          <t>https://yakeey.com/fr-ma/achat/biens/187111</t>
        </is>
      </c>
    </row>
    <row r="458">
      <c r="A458" s="2" t="inlineStr">
        <is>
          <t>187116</t>
        </is>
      </c>
      <c r="B458" s="2" t="inlineStr">
        <is>
          <t>APARTMENT</t>
        </is>
      </c>
      <c r="C458" s="2" t="inlineStr">
        <is>
          <t>Racine</t>
        </is>
      </c>
      <c r="D458" s="2" t="inlineStr">
        <is>
          <t>Casablanca</t>
        </is>
      </c>
      <c r="E458" s="3" t="n">
        <v>2600000</v>
      </c>
      <c r="F458" s="4" t="n">
        <v>117</v>
      </c>
      <c r="G458" s="4" t="n"/>
      <c r="H458" s="4" t="n"/>
      <c r="I458" s="5">
        <f>IFERROR(E458/F458,"")</f>
        <v/>
      </c>
      <c r="J458" s="2" t="n">
        <v>2</v>
      </c>
      <c r="K458" s="2" t="n">
        <v>2</v>
      </c>
      <c r="L458" s="2" t="n"/>
      <c r="M458" s="2" t="n"/>
      <c r="N458" s="2" t="n"/>
      <c r="O458" s="2" t="n"/>
      <c r="P458" s="2" t="inlineStr">
        <is>
          <t>LISTED</t>
        </is>
      </c>
      <c r="Q458" s="2" t="n"/>
      <c r="R458" s="2" t="n"/>
      <c r="S458" s="2" t="n">
        <v>33.58882036505673</v>
      </c>
      <c r="T458" s="2" t="n">
        <v>-7.644729281531856</v>
      </c>
      <c r="U458" s="3" t="n">
        <v>14957</v>
      </c>
      <c r="V458" s="2" t="inlineStr"/>
      <c r="W458" s="6" t="inlineStr">
        <is>
          <t>https://yakeey.com/fr-ma/achat/biens/187116</t>
        </is>
      </c>
    </row>
    <row r="459">
      <c r="A459" t="inlineStr">
        <is>
          <t>187119</t>
        </is>
      </c>
      <c r="B459" t="inlineStr">
        <is>
          <t>APARTMENT</t>
        </is>
      </c>
      <c r="C459" t="inlineStr">
        <is>
          <t>Ferme Bretonne</t>
        </is>
      </c>
      <c r="D459" t="inlineStr">
        <is>
          <t>Casablanca</t>
        </is>
      </c>
      <c r="E459" s="7" t="n">
        <v>2275556</v>
      </c>
      <c r="F459" s="8" t="n">
        <v>157</v>
      </c>
      <c r="G459" s="8" t="n"/>
      <c r="H459" s="8" t="n"/>
      <c r="I459" s="9">
        <f>IFERROR(E459/F459,"")</f>
        <v/>
      </c>
      <c r="J459" t="n">
        <v>3</v>
      </c>
      <c r="K459" t="n">
        <v>2</v>
      </c>
      <c r="P459" t="inlineStr">
        <is>
          <t>LISTED</t>
        </is>
      </c>
      <c r="S459" t="n">
        <v>33.55448647598727</v>
      </c>
      <c r="T459" t="n">
        <v>-7.647072933655374</v>
      </c>
      <c r="U459" s="7" t="n">
        <v>13091</v>
      </c>
      <c r="V459" t="inlineStr"/>
      <c r="W459" s="10" t="inlineStr">
        <is>
          <t>https://yakeey.com/fr-ma/achat/biens/187119</t>
        </is>
      </c>
    </row>
    <row r="460">
      <c r="A460" s="2" t="inlineStr">
        <is>
          <t>187160</t>
        </is>
      </c>
      <c r="B460" s="2" t="inlineStr">
        <is>
          <t>APARTMENT</t>
        </is>
      </c>
      <c r="C460" s="2" t="inlineStr">
        <is>
          <t>Ouled Ahmed</t>
        </is>
      </c>
      <c r="D460" s="2" t="inlineStr">
        <is>
          <t>Dar Bouazza</t>
        </is>
      </c>
      <c r="E460" s="3" t="n">
        <v>785000</v>
      </c>
      <c r="F460" s="4" t="n">
        <v>68</v>
      </c>
      <c r="G460" s="4" t="n"/>
      <c r="H460" s="4" t="n"/>
      <c r="I460" s="5">
        <f>IFERROR(E460/F460,"")</f>
        <v/>
      </c>
      <c r="J460" s="2" t="n">
        <v>2</v>
      </c>
      <c r="K460" s="2" t="n">
        <v>2</v>
      </c>
      <c r="L460" s="2" t="n"/>
      <c r="M460" s="2" t="n"/>
      <c r="N460" s="2" t="n"/>
      <c r="O460" s="2" t="n"/>
      <c r="P460" s="2" t="inlineStr">
        <is>
          <t>LISTED</t>
        </is>
      </c>
      <c r="Q460" s="2" t="n"/>
      <c r="R460" s="2" t="n"/>
      <c r="S460" s="2" t="n">
        <v>33.52622312798125</v>
      </c>
      <c r="T460" s="2" t="n">
        <v>-7.731626366986881</v>
      </c>
      <c r="U460" s="3" t="n">
        <v>4516</v>
      </c>
      <c r="V460" s="2" t="inlineStr"/>
      <c r="W460" s="6" t="inlineStr">
        <is>
          <t>https://yakeey.com/fr-ma/achat/biens/187160</t>
        </is>
      </c>
    </row>
    <row r="461">
      <c r="A461" t="inlineStr">
        <is>
          <t>187212</t>
        </is>
      </c>
      <c r="B461" t="inlineStr">
        <is>
          <t>APARTMENT</t>
        </is>
      </c>
      <c r="C461" t="inlineStr">
        <is>
          <t>Tamaris2</t>
        </is>
      </c>
      <c r="D461" t="inlineStr">
        <is>
          <t>Dar Bouazza</t>
        </is>
      </c>
      <c r="E461" s="7" t="n">
        <v>560000</v>
      </c>
      <c r="F461" s="8" t="n">
        <v>54</v>
      </c>
      <c r="G461" s="8" t="n"/>
      <c r="H461" s="8" t="n"/>
      <c r="I461" s="9">
        <f>IFERROR(E461/F461,"")</f>
        <v/>
      </c>
      <c r="J461" t="n">
        <v>2</v>
      </c>
      <c r="K461" t="n">
        <v>1</v>
      </c>
      <c r="P461" t="inlineStr">
        <is>
          <t>LISTED</t>
        </is>
      </c>
      <c r="S461" t="n">
        <v>33.50808014773371</v>
      </c>
      <c r="T461" t="n">
        <v>-7.852722727853123</v>
      </c>
      <c r="U461" s="7" t="n">
        <v>3221</v>
      </c>
      <c r="V461" t="inlineStr"/>
      <c r="W461" s="10" t="inlineStr">
        <is>
          <t>https://yakeey.com/fr-ma/achat/biens/187212</t>
        </is>
      </c>
    </row>
    <row r="462">
      <c r="A462" s="2" t="inlineStr">
        <is>
          <t>187588</t>
        </is>
      </c>
      <c r="B462" s="2" t="inlineStr">
        <is>
          <t>APARTMENT</t>
        </is>
      </c>
      <c r="C462" s="2" t="inlineStr">
        <is>
          <t>Californie</t>
        </is>
      </c>
      <c r="D462" s="2" t="inlineStr">
        <is>
          <t>Casablanca</t>
        </is>
      </c>
      <c r="E462" s="3" t="n">
        <v>1900000</v>
      </c>
      <c r="F462" s="4" t="n">
        <v>125</v>
      </c>
      <c r="G462" s="4" t="n"/>
      <c r="H462" s="4" t="n"/>
      <c r="I462" s="5">
        <f>IFERROR(E462/F462,"")</f>
        <v/>
      </c>
      <c r="J462" s="2" t="n">
        <v>3</v>
      </c>
      <c r="K462" s="2" t="n">
        <v>2</v>
      </c>
      <c r="L462" s="2" t="n"/>
      <c r="M462" s="2" t="n"/>
      <c r="N462" s="2" t="n"/>
      <c r="O462" s="2" t="n"/>
      <c r="P462" s="2" t="inlineStr">
        <is>
          <t>LISTED</t>
        </is>
      </c>
      <c r="Q462" s="2" t="n"/>
      <c r="R462" s="2" t="n"/>
      <c r="S462" s="2" t="n">
        <v>33.52987676004431</v>
      </c>
      <c r="T462" s="2" t="n">
        <v>-7.611989469219651</v>
      </c>
      <c r="U462" s="3" t="n">
        <v>10930</v>
      </c>
      <c r="V462" s="2" t="inlineStr"/>
      <c r="W462" s="6" t="inlineStr">
        <is>
          <t>https://yakeey.com/fr-ma/achat/biens/187588</t>
        </is>
      </c>
    </row>
    <row r="463">
      <c r="A463" t="inlineStr">
        <is>
          <t>187680</t>
        </is>
      </c>
      <c r="B463" t="inlineStr">
        <is>
          <t>APARTMENT</t>
        </is>
      </c>
      <c r="C463" t="inlineStr">
        <is>
          <t>Ibn Tachfine</t>
        </is>
      </c>
      <c r="D463" t="inlineStr">
        <is>
          <t>Casablanca</t>
        </is>
      </c>
      <c r="E463" s="7" t="n">
        <v>1050000</v>
      </c>
      <c r="F463" s="8" t="n">
        <v>86</v>
      </c>
      <c r="G463" s="8" t="n"/>
      <c r="H463" s="8" t="n"/>
      <c r="I463" s="9">
        <f>IFERROR(E463/F463,"")</f>
        <v/>
      </c>
      <c r="J463" t="n">
        <v>2</v>
      </c>
      <c r="K463" t="n">
        <v>2</v>
      </c>
      <c r="P463" t="inlineStr">
        <is>
          <t>LISTED</t>
        </is>
      </c>
      <c r="S463" t="n">
        <v>33.58560888496377</v>
      </c>
      <c r="T463" t="n">
        <v>-7.592390554089257</v>
      </c>
      <c r="U463" s="7" t="n">
        <v>6040</v>
      </c>
      <c r="V463" t="inlineStr"/>
      <c r="W463" s="10" t="inlineStr">
        <is>
          <t>https://yakeey.com/fr-ma/achat/biens/187680</t>
        </is>
      </c>
    </row>
    <row r="464">
      <c r="A464" s="2" t="inlineStr">
        <is>
          <t>187744</t>
        </is>
      </c>
      <c r="B464" s="2" t="inlineStr">
        <is>
          <t>APARTMENT</t>
        </is>
      </c>
      <c r="C464" s="2" t="inlineStr">
        <is>
          <t>Hopitaux</t>
        </is>
      </c>
      <c r="D464" s="2" t="inlineStr">
        <is>
          <t>Casablanca</t>
        </is>
      </c>
      <c r="E464" s="3" t="n">
        <v>1600000</v>
      </c>
      <c r="F464" s="4" t="n">
        <v>126</v>
      </c>
      <c r="G464" s="4" t="n"/>
      <c r="H464" s="4" t="n"/>
      <c r="I464" s="5">
        <f>IFERROR(E464/F464,"")</f>
        <v/>
      </c>
      <c r="J464" s="2" t="n">
        <v>2</v>
      </c>
      <c r="K464" s="2" t="n">
        <v>1</v>
      </c>
      <c r="L464" s="2" t="n"/>
      <c r="M464" s="2" t="n"/>
      <c r="N464" s="2" t="n"/>
      <c r="O464" s="2" t="n"/>
      <c r="P464" s="2" t="inlineStr">
        <is>
          <t>LISTED</t>
        </is>
      </c>
      <c r="Q464" s="2" t="n"/>
      <c r="R464" s="2" t="n"/>
      <c r="S464" s="2" t="n">
        <v>33.57299180183334</v>
      </c>
      <c r="T464" s="2" t="n">
        <v>-7.617866017124205</v>
      </c>
      <c r="U464" s="3" t="n">
        <v>9204</v>
      </c>
      <c r="V464" s="2" t="inlineStr"/>
      <c r="W464" s="6" t="inlineStr">
        <is>
          <t>https://yakeey.com/fr-ma/achat/biens/187744</t>
        </is>
      </c>
    </row>
    <row r="465">
      <c r="A465" t="inlineStr">
        <is>
          <t>187921</t>
        </is>
      </c>
      <c r="B465" t="inlineStr">
        <is>
          <t>APARTMENT</t>
        </is>
      </c>
      <c r="C465" t="inlineStr">
        <is>
          <t>Ain Sebaa</t>
        </is>
      </c>
      <c r="D465" t="inlineStr">
        <is>
          <t>Casablanca</t>
        </is>
      </c>
      <c r="E465" s="7" t="n">
        <v>450000</v>
      </c>
      <c r="F465" s="8" t="n">
        <v>300</v>
      </c>
      <c r="G465" s="8" t="n"/>
      <c r="H465" s="8" t="n"/>
      <c r="I465" s="9">
        <f>IFERROR(E465/F465,"")</f>
        <v/>
      </c>
      <c r="J465" t="n">
        <v>4</v>
      </c>
      <c r="P465" t="inlineStr">
        <is>
          <t>PROCESSING</t>
        </is>
      </c>
      <c r="S465" t="n">
        <v>33.57403736566251</v>
      </c>
      <c r="T465" t="n">
        <v>-7.590783601785773</v>
      </c>
      <c r="U465" s="7" t="n">
        <v>2588</v>
      </c>
      <c r="V465" t="inlineStr"/>
      <c r="W465" s="10" t="inlineStr">
        <is>
          <t>https://yakeey.com/fr-ma/achat/biens/187921</t>
        </is>
      </c>
    </row>
    <row r="466">
      <c r="A466" s="2" t="inlineStr">
        <is>
          <t>187959</t>
        </is>
      </c>
      <c r="B466" s="2" t="inlineStr">
        <is>
          <t>APARTMENT</t>
        </is>
      </c>
      <c r="C466" s="2" t="inlineStr">
        <is>
          <t>Maarif</t>
        </is>
      </c>
      <c r="D466" s="2" t="inlineStr">
        <is>
          <t>Casablanca</t>
        </is>
      </c>
      <c r="E466" s="3" t="n">
        <v>1100000</v>
      </c>
      <c r="F466" s="4" t="n">
        <v>81</v>
      </c>
      <c r="G466" s="4" t="n"/>
      <c r="H466" s="4" t="n"/>
      <c r="I466" s="5">
        <f>IFERROR(E466/F466,"")</f>
        <v/>
      </c>
      <c r="J466" s="2" t="n">
        <v>2</v>
      </c>
      <c r="K466" s="2" t="n">
        <v>1</v>
      </c>
      <c r="L466" s="2" t="n"/>
      <c r="M466" s="2" t="n"/>
      <c r="N466" s="2" t="n"/>
      <c r="O466" s="2" t="n"/>
      <c r="P466" s="2" t="inlineStr">
        <is>
          <t>PROCESSING</t>
        </is>
      </c>
      <c r="Q466" s="2" t="n"/>
      <c r="R466" s="2" t="n"/>
      <c r="S466" s="2" t="n">
        <v>33.58615244186063</v>
      </c>
      <c r="T466" s="2" t="n">
        <v>-7.633661928696349</v>
      </c>
      <c r="U466" s="3" t="n">
        <v>6328</v>
      </c>
      <c r="V466" s="2" t="inlineStr"/>
      <c r="W466" s="6" t="inlineStr">
        <is>
          <t>https://yakeey.com/fr-ma/achat/biens/187959</t>
        </is>
      </c>
    </row>
    <row r="467">
      <c r="A467" t="inlineStr">
        <is>
          <t>187991</t>
        </is>
      </c>
      <c r="B467" t="inlineStr">
        <is>
          <t>APARTMENT</t>
        </is>
      </c>
      <c r="C467" t="inlineStr">
        <is>
          <t>Racine</t>
        </is>
      </c>
      <c r="D467" t="inlineStr">
        <is>
          <t>Casablanca</t>
        </is>
      </c>
      <c r="E467" s="7" t="n">
        <v>2300000</v>
      </c>
      <c r="F467" s="8" t="n">
        <v>138</v>
      </c>
      <c r="G467" s="8" t="n"/>
      <c r="H467" s="8" t="n"/>
      <c r="I467" s="9">
        <f>IFERROR(E467/F467,"")</f>
        <v/>
      </c>
      <c r="J467" t="n">
        <v>2</v>
      </c>
      <c r="K467" t="n">
        <v>1</v>
      </c>
      <c r="P467" t="inlineStr">
        <is>
          <t>LISTED</t>
        </is>
      </c>
      <c r="S467" t="n">
        <v>33.59171804423075</v>
      </c>
      <c r="T467" t="n">
        <v>-7.640605342551904</v>
      </c>
      <c r="U467" s="7" t="n">
        <v>13232</v>
      </c>
      <c r="V467" t="inlineStr"/>
      <c r="W467" s="10" t="inlineStr">
        <is>
          <t>https://yakeey.com/fr-ma/achat/biens/187991</t>
        </is>
      </c>
    </row>
    <row r="468">
      <c r="A468" s="2" t="inlineStr">
        <is>
          <t>188087</t>
        </is>
      </c>
      <c r="B468" s="2" t="inlineStr">
        <is>
          <t>APARTMENT</t>
        </is>
      </c>
      <c r="C468" s="2" t="inlineStr">
        <is>
          <t>Bourgogne (Sidi Belyout)</t>
        </is>
      </c>
      <c r="D468" s="2" t="inlineStr">
        <is>
          <t>Casablanca</t>
        </is>
      </c>
      <c r="E468" s="3" t="n">
        <v>2600000</v>
      </c>
      <c r="F468" s="4" t="n">
        <v>189</v>
      </c>
      <c r="G468" s="4" t="n"/>
      <c r="H468" s="4" t="n"/>
      <c r="I468" s="5">
        <f>IFERROR(E468/F468,"")</f>
        <v/>
      </c>
      <c r="J468" s="2" t="n">
        <v>4</v>
      </c>
      <c r="K468" s="2" t="n">
        <v>3</v>
      </c>
      <c r="L468" s="2" t="n"/>
      <c r="M468" s="2" t="n"/>
      <c r="N468" s="2" t="n"/>
      <c r="O468" s="2" t="n"/>
      <c r="P468" s="2" t="inlineStr">
        <is>
          <t>LISTED</t>
        </is>
      </c>
      <c r="Q468" s="2" t="n"/>
      <c r="R468" s="2" t="n"/>
      <c r="S468" s="2" t="n">
        <v>33.59730615434756</v>
      </c>
      <c r="T468" s="2" t="n">
        <v>-7.636210717350187</v>
      </c>
      <c r="U468" s="3" t="n">
        <v>14957</v>
      </c>
      <c r="V468" s="2" t="inlineStr"/>
      <c r="W468" s="6" t="inlineStr">
        <is>
          <t>https://yakeey.com/fr-ma/achat/biens/188087</t>
        </is>
      </c>
    </row>
    <row r="469">
      <c r="A469" t="inlineStr">
        <is>
          <t>188146</t>
        </is>
      </c>
      <c r="B469" t="inlineStr">
        <is>
          <t>APARTMENT</t>
        </is>
      </c>
      <c r="C469" t="inlineStr">
        <is>
          <t>Val Fleuri</t>
        </is>
      </c>
      <c r="D469" t="inlineStr">
        <is>
          <t>Casablanca</t>
        </is>
      </c>
      <c r="E469" s="7" t="n">
        <v>2600000</v>
      </c>
      <c r="F469" s="8" t="n">
        <v>188</v>
      </c>
      <c r="G469" s="8" t="n"/>
      <c r="H469" s="8" t="n"/>
      <c r="I469" s="9">
        <f>IFERROR(E469/F469,"")</f>
        <v/>
      </c>
      <c r="J469" t="n">
        <v>3</v>
      </c>
      <c r="K469" t="n">
        <v>2</v>
      </c>
      <c r="P469" t="inlineStr">
        <is>
          <t>PROCESSING</t>
        </is>
      </c>
      <c r="S469" t="n">
        <v>33.57291065788778</v>
      </c>
      <c r="T469" t="n">
        <v>-7.636720542550703</v>
      </c>
      <c r="U469" s="7" t="n">
        <v>14957</v>
      </c>
      <c r="V469" t="inlineStr"/>
      <c r="W469" s="10" t="inlineStr">
        <is>
          <t>https://yakeey.com/fr-ma/achat/biens/188146</t>
        </is>
      </c>
    </row>
    <row r="470">
      <c r="A470" s="2" t="inlineStr">
        <is>
          <t>188172</t>
        </is>
      </c>
      <c r="B470" s="2" t="inlineStr">
        <is>
          <t>APARTMENT</t>
        </is>
      </c>
      <c r="C470" s="2" t="inlineStr">
        <is>
          <t>Californie</t>
        </is>
      </c>
      <c r="D470" s="2" t="inlineStr">
        <is>
          <t>Casablanca</t>
        </is>
      </c>
      <c r="E470" s="3" t="n">
        <v>2800000</v>
      </c>
      <c r="F470" s="4" t="n">
        <v>207</v>
      </c>
      <c r="G470" s="4" t="n"/>
      <c r="H470" s="4" t="n"/>
      <c r="I470" s="5">
        <f>IFERROR(E470/F470,"")</f>
        <v/>
      </c>
      <c r="J470" s="2" t="n">
        <v>4</v>
      </c>
      <c r="K470" s="2" t="n"/>
      <c r="L470" s="2" t="n"/>
      <c r="M470" s="2" t="n"/>
      <c r="N470" s="2" t="n"/>
      <c r="O470" s="2" t="n"/>
      <c r="P470" s="2" t="inlineStr">
        <is>
          <t>PROCESSING</t>
        </is>
      </c>
      <c r="Q470" s="2" t="n"/>
      <c r="R470" s="2" t="n"/>
      <c r="S470" s="2" t="n">
        <v>33.53825933861508</v>
      </c>
      <c r="T470" s="2" t="n">
        <v>-7.628284506294035</v>
      </c>
      <c r="U470" s="3" t="n">
        <v>16108</v>
      </c>
      <c r="V470" s="2" t="inlineStr"/>
      <c r="W470" s="6" t="inlineStr">
        <is>
          <t>https://yakeey.com/fr-ma/achat/biens/188172</t>
        </is>
      </c>
    </row>
    <row r="471">
      <c r="A471" t="inlineStr">
        <is>
          <t>188274</t>
        </is>
      </c>
      <c r="B471" t="inlineStr">
        <is>
          <t>APARTMENT</t>
        </is>
      </c>
      <c r="C471" t="inlineStr">
        <is>
          <t>Anassi</t>
        </is>
      </c>
      <c r="D471" t="inlineStr">
        <is>
          <t>Casablanca</t>
        </is>
      </c>
      <c r="E471" s="7" t="n">
        <v>806000</v>
      </c>
      <c r="F471" s="8" t="n">
        <v>124</v>
      </c>
      <c r="G471" s="8" t="n"/>
      <c r="H471" s="8" t="n"/>
      <c r="I471" s="9">
        <f>IFERROR(E471/F471,"")</f>
        <v/>
      </c>
      <c r="J471" t="n">
        <v>3</v>
      </c>
      <c r="K471" t="n">
        <v>1</v>
      </c>
      <c r="P471" t="inlineStr">
        <is>
          <t>LISTED</t>
        </is>
      </c>
      <c r="S471" t="n">
        <v>33.59050986299495</v>
      </c>
      <c r="T471" t="n">
        <v>-7.499950560611609</v>
      </c>
      <c r="U471" s="7" t="n">
        <v>4636</v>
      </c>
      <c r="V471" t="inlineStr"/>
      <c r="W471" s="10" t="inlineStr">
        <is>
          <t>https://yakeey.com/fr-ma/achat/biens/188274</t>
        </is>
      </c>
    </row>
    <row r="472">
      <c r="A472" s="2" t="inlineStr">
        <is>
          <t>188350</t>
        </is>
      </c>
      <c r="B472" s="2" t="inlineStr">
        <is>
          <t>APARTMENT</t>
        </is>
      </c>
      <c r="C472" s="2" t="inlineStr">
        <is>
          <t>Lissasfa</t>
        </is>
      </c>
      <c r="D472" s="2" t="inlineStr">
        <is>
          <t>Casablanca</t>
        </is>
      </c>
      <c r="E472" s="3" t="n">
        <v>1450000</v>
      </c>
      <c r="F472" s="4" t="n">
        <v>132</v>
      </c>
      <c r="G472" s="4" t="n"/>
      <c r="H472" s="4" t="n"/>
      <c r="I472" s="5">
        <f>IFERROR(E472/F472,"")</f>
        <v/>
      </c>
      <c r="J472" s="2" t="n">
        <v>3</v>
      </c>
      <c r="K472" s="2" t="n">
        <v>2</v>
      </c>
      <c r="L472" s="2" t="n"/>
      <c r="M472" s="2" t="n"/>
      <c r="N472" s="2" t="n"/>
      <c r="O472" s="2" t="n"/>
      <c r="P472" s="2" t="inlineStr">
        <is>
          <t>PROCESSING</t>
        </is>
      </c>
      <c r="Q472" s="2" t="n"/>
      <c r="R472" s="2" t="n"/>
      <c r="S472" s="2" t="n">
        <v>33.5395571127311</v>
      </c>
      <c r="T472" s="2" t="n">
        <v>-7.672047939216051</v>
      </c>
      <c r="U472" s="3" t="n">
        <v>8341</v>
      </c>
      <c r="V472" s="2" t="inlineStr"/>
      <c r="W472" s="6" t="inlineStr">
        <is>
          <t>https://yakeey.com/fr-ma/achat/biens/188350</t>
        </is>
      </c>
    </row>
    <row r="473">
      <c r="A473" t="inlineStr">
        <is>
          <t>188603</t>
        </is>
      </c>
      <c r="B473" t="inlineStr">
        <is>
          <t>APARTMENT</t>
        </is>
      </c>
      <c r="C473" t="inlineStr">
        <is>
          <t>Ferme Bretonne</t>
        </is>
      </c>
      <c r="D473" t="inlineStr">
        <is>
          <t>Casablanca</t>
        </is>
      </c>
      <c r="E473" s="7" t="n">
        <v>1950000</v>
      </c>
      <c r="F473" s="8" t="n">
        <v>106</v>
      </c>
      <c r="G473" s="8" t="n"/>
      <c r="H473" s="8" t="n"/>
      <c r="I473" s="9">
        <f>IFERROR(E473/F473,"")</f>
        <v/>
      </c>
      <c r="J473" t="n">
        <v>2</v>
      </c>
      <c r="K473" t="n">
        <v>1</v>
      </c>
      <c r="P473" t="inlineStr">
        <is>
          <t>LISTED</t>
        </is>
      </c>
      <c r="S473" t="n">
        <v>33.56178308149795</v>
      </c>
      <c r="T473" t="n">
        <v>-7.646702076894473</v>
      </c>
      <c r="U473" s="7" t="n">
        <v>11218</v>
      </c>
      <c r="V473" t="inlineStr"/>
      <c r="W473" s="10" t="inlineStr">
        <is>
          <t>https://yakeey.com/fr-ma/achat/biens/188603</t>
        </is>
      </c>
    </row>
    <row r="474">
      <c r="A474" s="2" t="inlineStr">
        <is>
          <t>188933</t>
        </is>
      </c>
      <c r="B474" s="2" t="inlineStr">
        <is>
          <t>APARTMENT</t>
        </is>
      </c>
      <c r="C474" s="2" t="inlineStr">
        <is>
          <t>Maarif</t>
        </is>
      </c>
      <c r="D474" s="2" t="inlineStr">
        <is>
          <t>Casablanca</t>
        </is>
      </c>
      <c r="E474" s="3" t="n">
        <v>1180000</v>
      </c>
      <c r="F474" s="4" t="n">
        <v>74</v>
      </c>
      <c r="G474" s="4" t="n"/>
      <c r="H474" s="4" t="n"/>
      <c r="I474" s="5">
        <f>IFERROR(E474/F474,"")</f>
        <v/>
      </c>
      <c r="J474" s="2" t="n">
        <v>2</v>
      </c>
      <c r="K474" s="2" t="n">
        <v>2</v>
      </c>
      <c r="L474" s="2" t="n"/>
      <c r="M474" s="2" t="n"/>
      <c r="N474" s="2" t="n"/>
      <c r="O474" s="2" t="n"/>
      <c r="P474" s="2" t="inlineStr">
        <is>
          <t>LISTED</t>
        </is>
      </c>
      <c r="Q474" s="2" t="n"/>
      <c r="R474" s="2" t="n"/>
      <c r="S474" s="2" t="n">
        <v>33.58239882060104</v>
      </c>
      <c r="T474" s="2" t="n">
        <v>-7.634749940419249</v>
      </c>
      <c r="U474" s="3" t="n">
        <v>6788</v>
      </c>
      <c r="V474" s="2" t="inlineStr"/>
      <c r="W474" s="6" t="inlineStr">
        <is>
          <t>https://yakeey.com/fr-ma/achat/biens/188933</t>
        </is>
      </c>
    </row>
    <row r="475">
      <c r="A475" t="inlineStr">
        <is>
          <t>188986</t>
        </is>
      </c>
      <c r="B475" t="inlineStr">
        <is>
          <t>APARTMENT</t>
        </is>
      </c>
      <c r="C475" t="inlineStr">
        <is>
          <t>Maarif</t>
        </is>
      </c>
      <c r="D475" t="inlineStr">
        <is>
          <t>Casablanca</t>
        </is>
      </c>
      <c r="E475" s="7" t="n">
        <v>2300000</v>
      </c>
      <c r="F475" s="8" t="n">
        <v>173</v>
      </c>
      <c r="G475" s="8" t="n"/>
      <c r="H475" s="8" t="n"/>
      <c r="I475" s="9">
        <f>IFERROR(E475/F475,"")</f>
        <v/>
      </c>
      <c r="J475" t="n">
        <v>4</v>
      </c>
      <c r="K475" t="n">
        <v>1</v>
      </c>
      <c r="P475" t="inlineStr">
        <is>
          <t>PROCESSING</t>
        </is>
      </c>
      <c r="S475" t="n">
        <v>33.58272335482656</v>
      </c>
      <c r="T475" t="n">
        <v>-7.632872000758824</v>
      </c>
      <c r="U475" s="7" t="n">
        <v>13232</v>
      </c>
      <c r="V475" t="inlineStr"/>
      <c r="W475" s="10" t="inlineStr">
        <is>
          <t>https://yakeey.com/fr-ma/achat/biens/188986</t>
        </is>
      </c>
    </row>
    <row r="476">
      <c r="A476" s="2" t="inlineStr">
        <is>
          <t>189200</t>
        </is>
      </c>
      <c r="B476" s="2" t="inlineStr">
        <is>
          <t>APARTMENT</t>
        </is>
      </c>
      <c r="C476" s="2" t="inlineStr">
        <is>
          <t>Triangle D'Or</t>
        </is>
      </c>
      <c r="D476" s="2" t="inlineStr">
        <is>
          <t>Casablanca</t>
        </is>
      </c>
      <c r="E476" s="3" t="n">
        <v>3900000</v>
      </c>
      <c r="F476" s="4" t="n">
        <v>227</v>
      </c>
      <c r="G476" s="4" t="n"/>
      <c r="H476" s="4" t="n"/>
      <c r="I476" s="5">
        <f>IFERROR(E476/F476,"")</f>
        <v/>
      </c>
      <c r="J476" s="2" t="n">
        <v>3</v>
      </c>
      <c r="K476" s="2" t="n">
        <v>2</v>
      </c>
      <c r="L476" s="2" t="n"/>
      <c r="M476" s="2" t="n"/>
      <c r="N476" s="2" t="n"/>
      <c r="O476" s="2" t="n"/>
      <c r="P476" s="2" t="inlineStr">
        <is>
          <t>LISTED</t>
        </is>
      </c>
      <c r="Q476" s="2" t="n"/>
      <c r="R476" s="2" t="n"/>
      <c r="S476" s="2" t="n">
        <v>33.59105965474117</v>
      </c>
      <c r="T476" s="2" t="n">
        <v>-7.640331647329552</v>
      </c>
      <c r="U476" s="3" t="n">
        <v>22436</v>
      </c>
      <c r="V476" s="2" t="inlineStr"/>
      <c r="W476" s="6" t="inlineStr">
        <is>
          <t>https://yakeey.com/fr-ma/achat/biens/189200</t>
        </is>
      </c>
    </row>
    <row r="477">
      <c r="A477" t="inlineStr">
        <is>
          <t>189402</t>
        </is>
      </c>
      <c r="B477" t="inlineStr">
        <is>
          <t>APARTMENT</t>
        </is>
      </c>
      <c r="C477" t="inlineStr">
        <is>
          <t>La Gironde</t>
        </is>
      </c>
      <c r="D477" t="inlineStr">
        <is>
          <t>Casablanca</t>
        </is>
      </c>
      <c r="E477" s="7" t="n">
        <v>1137778</v>
      </c>
      <c r="F477" s="8" t="n">
        <v>85</v>
      </c>
      <c r="G477" s="8" t="n"/>
      <c r="H477" s="8" t="n"/>
      <c r="I477" s="9">
        <f>IFERROR(E477/F477,"")</f>
        <v/>
      </c>
      <c r="J477" t="n">
        <v>2</v>
      </c>
      <c r="K477" t="n">
        <v>2</v>
      </c>
      <c r="P477" t="inlineStr">
        <is>
          <t>LISTED</t>
        </is>
      </c>
      <c r="S477" t="n">
        <v>33.58199435452283</v>
      </c>
      <c r="T477" t="n">
        <v>-7.595545707998604</v>
      </c>
      <c r="U477" s="7" t="n">
        <v>6545</v>
      </c>
      <c r="V477" t="inlineStr"/>
      <c r="W477" s="10" t="inlineStr">
        <is>
          <t>https://yakeey.com/fr-ma/achat/biens/189402</t>
        </is>
      </c>
    </row>
    <row r="478">
      <c r="A478" s="2" t="inlineStr">
        <is>
          <t>189406</t>
        </is>
      </c>
      <c r="B478" s="2" t="inlineStr">
        <is>
          <t>APARTMENT</t>
        </is>
      </c>
      <c r="C478" s="2" t="inlineStr">
        <is>
          <t>Ain Sebaa</t>
        </is>
      </c>
      <c r="D478" s="2" t="inlineStr">
        <is>
          <t>Casablanca</t>
        </is>
      </c>
      <c r="E478" s="3" t="n">
        <v>955733</v>
      </c>
      <c r="F478" s="4" t="n">
        <v>97</v>
      </c>
      <c r="G478" s="4" t="n"/>
      <c r="H478" s="4" t="n"/>
      <c r="I478" s="5">
        <f>IFERROR(E478/F478,"")</f>
        <v/>
      </c>
      <c r="J478" s="2" t="n">
        <v>2</v>
      </c>
      <c r="K478" s="2" t="n">
        <v>2</v>
      </c>
      <c r="L478" s="2" t="n"/>
      <c r="M478" s="2" t="n"/>
      <c r="N478" s="2" t="n"/>
      <c r="O478" s="2" t="n"/>
      <c r="P478" s="2" t="inlineStr">
        <is>
          <t>PROCESSING</t>
        </is>
      </c>
      <c r="Q478" s="2" t="n"/>
      <c r="R478" s="2" t="n"/>
      <c r="S478" s="2" t="n">
        <v>33.61219190024106</v>
      </c>
      <c r="T478" s="2" t="n">
        <v>-7.534639037087858</v>
      </c>
      <c r="U478" s="3" t="n">
        <v>5498</v>
      </c>
      <c r="V478" s="2" t="inlineStr"/>
      <c r="W478" s="6" t="inlineStr">
        <is>
          <t>https://yakeey.com/fr-ma/achat/biens/189406</t>
        </is>
      </c>
    </row>
    <row r="479">
      <c r="A479" t="inlineStr">
        <is>
          <t>189745</t>
        </is>
      </c>
      <c r="B479" t="inlineStr">
        <is>
          <t>APARTMENT</t>
        </is>
      </c>
      <c r="C479" t="inlineStr">
        <is>
          <t>Triangle D'Or</t>
        </is>
      </c>
      <c r="D479" t="inlineStr">
        <is>
          <t>Casablanca</t>
        </is>
      </c>
      <c r="E479" s="7" t="n">
        <v>4043000</v>
      </c>
      <c r="F479" s="8" t="n">
        <v>163</v>
      </c>
      <c r="G479" s="8" t="n"/>
      <c r="H479" s="8" t="n"/>
      <c r="I479" s="9">
        <f>IFERROR(E479/F479,"")</f>
        <v/>
      </c>
      <c r="J479" t="n">
        <v>3</v>
      </c>
      <c r="K479" t="n">
        <v>3</v>
      </c>
      <c r="P479" t="inlineStr">
        <is>
          <t>LISTED</t>
        </is>
      </c>
      <c r="S479" t="n">
        <v>33.587849797539</v>
      </c>
      <c r="T479" t="n">
        <v>-7.639313934039493</v>
      </c>
      <c r="U479" s="7" t="n">
        <v>23259</v>
      </c>
      <c r="V479" t="inlineStr"/>
      <c r="W479" s="10" t="inlineStr">
        <is>
          <t>https://yakeey.com/fr-ma/achat/biens/189745</t>
        </is>
      </c>
    </row>
    <row r="480">
      <c r="A480" s="2" t="inlineStr">
        <is>
          <t>189752</t>
        </is>
      </c>
      <c r="B480" s="2" t="inlineStr">
        <is>
          <t>APARTMENT</t>
        </is>
      </c>
      <c r="C480" s="2" t="inlineStr">
        <is>
          <t>Triangle D'Or</t>
        </is>
      </c>
      <c r="D480" s="2" t="inlineStr">
        <is>
          <t>Casablanca</t>
        </is>
      </c>
      <c r="E480" s="3" t="n">
        <v>3250000</v>
      </c>
      <c r="F480" s="4" t="n">
        <v>125</v>
      </c>
      <c r="G480" s="4" t="n"/>
      <c r="H480" s="4" t="n"/>
      <c r="I480" s="5">
        <f>IFERROR(E480/F480,"")</f>
        <v/>
      </c>
      <c r="J480" s="2" t="n">
        <v>3</v>
      </c>
      <c r="K480" s="2" t="n">
        <v>2</v>
      </c>
      <c r="L480" s="2" t="n"/>
      <c r="M480" s="2" t="n"/>
      <c r="N480" s="2" t="n"/>
      <c r="O480" s="2" t="n"/>
      <c r="P480" s="2" t="inlineStr">
        <is>
          <t>LISTED</t>
        </is>
      </c>
      <c r="Q480" s="2" t="n"/>
      <c r="R480" s="2" t="n"/>
      <c r="S480" s="2" t="n">
        <v>33.58739288339805</v>
      </c>
      <c r="T480" s="2" t="n">
        <v>-7.638576815124092</v>
      </c>
      <c r="U480" s="3" t="n">
        <v>18697</v>
      </c>
      <c r="V480" s="2" t="inlineStr"/>
      <c r="W480" s="6" t="inlineStr">
        <is>
          <t>https://yakeey.com/fr-ma/achat/biens/189752</t>
        </is>
      </c>
    </row>
    <row r="481">
      <c r="A481" t="inlineStr">
        <is>
          <t>189767</t>
        </is>
      </c>
      <c r="B481" t="inlineStr">
        <is>
          <t>APARTMENT</t>
        </is>
      </c>
      <c r="C481" t="inlineStr">
        <is>
          <t>Bachkou</t>
        </is>
      </c>
      <c r="D481" t="inlineStr">
        <is>
          <t>Casablanca</t>
        </is>
      </c>
      <c r="E481" s="7" t="n">
        <v>1501867</v>
      </c>
      <c r="F481" s="8" t="n">
        <v>99</v>
      </c>
      <c r="G481" s="8" t="n"/>
      <c r="H481" s="8" t="n"/>
      <c r="I481" s="9">
        <f>IFERROR(E481/F481,"")</f>
        <v/>
      </c>
      <c r="J481" t="n">
        <v>2</v>
      </c>
      <c r="K481" t="n">
        <v>1</v>
      </c>
      <c r="P481" t="inlineStr">
        <is>
          <t>PROCESSING</t>
        </is>
      </c>
      <c r="S481" t="n">
        <v>33.55928731600373</v>
      </c>
      <c r="T481" t="n">
        <v>-7.62641113924044</v>
      </c>
      <c r="U481" s="7" t="n">
        <v>8640</v>
      </c>
      <c r="V481" t="inlineStr"/>
      <c r="W481" s="10" t="inlineStr">
        <is>
          <t>https://yakeey.com/fr-ma/achat/biens/189767</t>
        </is>
      </c>
    </row>
    <row r="482">
      <c r="A482" s="2" t="inlineStr">
        <is>
          <t>189977</t>
        </is>
      </c>
      <c r="B482" s="2" t="inlineStr">
        <is>
          <t>APARTMENT</t>
        </is>
      </c>
      <c r="C482" s="2" t="inlineStr">
        <is>
          <t>Oulfa</t>
        </is>
      </c>
      <c r="D482" s="2" t="inlineStr">
        <is>
          <t>Casablanca</t>
        </is>
      </c>
      <c r="E482" s="3" t="n">
        <v>660000</v>
      </c>
      <c r="F482" s="4" t="n">
        <v>92</v>
      </c>
      <c r="G482" s="4" t="n"/>
      <c r="H482" s="4" t="n"/>
      <c r="I482" s="5">
        <f>IFERROR(E482/F482,"")</f>
        <v/>
      </c>
      <c r="J482" s="2" t="n">
        <v>3</v>
      </c>
      <c r="K482" s="2" t="n">
        <v>2</v>
      </c>
      <c r="L482" s="2" t="n"/>
      <c r="M482" s="2" t="n"/>
      <c r="N482" s="2" t="n"/>
      <c r="O482" s="2" t="n"/>
      <c r="P482" s="2" t="inlineStr">
        <is>
          <t>PROCESSING</t>
        </is>
      </c>
      <c r="Q482" s="2" t="n"/>
      <c r="R482" s="2" t="n"/>
      <c r="S482" s="2" t="n">
        <v>33.55650688702314</v>
      </c>
      <c r="T482" s="2" t="n">
        <v>-7.701888513449312</v>
      </c>
      <c r="U482" s="3" t="n">
        <v>3797</v>
      </c>
      <c r="V482" s="2" t="inlineStr"/>
      <c r="W482" s="6" t="inlineStr">
        <is>
          <t>https://yakeey.com/fr-ma/achat/biens/189977</t>
        </is>
      </c>
    </row>
    <row r="483">
      <c r="A483" t="inlineStr">
        <is>
          <t>19098</t>
        </is>
      </c>
      <c r="B483" t="inlineStr">
        <is>
          <t>APARTMENT</t>
        </is>
      </c>
      <c r="C483" t="inlineStr">
        <is>
          <t>Ain Borja</t>
        </is>
      </c>
      <c r="D483" t="inlineStr">
        <is>
          <t>Casablanca</t>
        </is>
      </c>
      <c r="E483" s="7" t="n">
        <v>1150000</v>
      </c>
      <c r="F483" s="8" t="n">
        <v>122</v>
      </c>
      <c r="G483" s="8" t="n"/>
      <c r="H483" s="8" t="n"/>
      <c r="I483" s="9">
        <f>IFERROR(E483/F483,"")</f>
        <v/>
      </c>
      <c r="J483" t="n">
        <v>3</v>
      </c>
      <c r="K483" t="n">
        <v>1</v>
      </c>
      <c r="P483" t="inlineStr">
        <is>
          <t>LISTED</t>
        </is>
      </c>
      <c r="S483" t="n">
        <v>33.57907928550294</v>
      </c>
      <c r="T483" t="n">
        <v>-7.585704687054633</v>
      </c>
      <c r="U483" s="7" t="n">
        <v>6616</v>
      </c>
      <c r="V483" t="inlineStr"/>
      <c r="W483" s="10" t="inlineStr">
        <is>
          <t>https://yakeey.com/fr-ma/achat/biens/19098</t>
        </is>
      </c>
    </row>
    <row r="484">
      <c r="A484" s="2" t="inlineStr">
        <is>
          <t>2002</t>
        </is>
      </c>
      <c r="B484" s="2" t="inlineStr">
        <is>
          <t>APARTMENT</t>
        </is>
      </c>
      <c r="C484" s="2" t="inlineStr">
        <is>
          <t>Bourgogne (Sidi Belyout)</t>
        </is>
      </c>
      <c r="D484" s="2" t="inlineStr">
        <is>
          <t>Casablanca</t>
        </is>
      </c>
      <c r="E484" s="3" t="n">
        <v>2000000</v>
      </c>
      <c r="F484" s="4" t="n">
        <v>145</v>
      </c>
      <c r="G484" s="4" t="n"/>
      <c r="H484" s="4" t="n"/>
      <c r="I484" s="5">
        <f>IFERROR(E484/F484,"")</f>
        <v/>
      </c>
      <c r="J484" s="2" t="n">
        <v>3</v>
      </c>
      <c r="K484" s="2" t="n">
        <v>2</v>
      </c>
      <c r="L484" s="2" t="n"/>
      <c r="M484" s="2" t="n"/>
      <c r="N484" s="2" t="n"/>
      <c r="O484" s="2" t="n"/>
      <c r="P484" s="2" t="inlineStr">
        <is>
          <t>LISTED</t>
        </is>
      </c>
      <c r="Q484" s="2" t="n"/>
      <c r="R484" s="2" t="n"/>
      <c r="S484" s="2" t="n">
        <v>33.59827832801918</v>
      </c>
      <c r="T484" s="2" t="n">
        <v>-7.63213770513635</v>
      </c>
      <c r="U484" s="3" t="n">
        <v>11506</v>
      </c>
      <c r="V484" s="2" t="inlineStr"/>
      <c r="W484" s="6" t="inlineStr">
        <is>
          <t>https://yakeey.com/fr-ma/achat/biens/2002</t>
        </is>
      </c>
    </row>
    <row r="485">
      <c r="A485" t="inlineStr">
        <is>
          <t>21204</t>
        </is>
      </c>
      <c r="B485" t="inlineStr">
        <is>
          <t>APARTMENT</t>
        </is>
      </c>
      <c r="C485" t="inlineStr">
        <is>
          <t>La Gironde</t>
        </is>
      </c>
      <c r="D485" t="inlineStr">
        <is>
          <t>Casablanca</t>
        </is>
      </c>
      <c r="E485" s="7" t="n">
        <v>900000</v>
      </c>
      <c r="F485" s="8" t="n">
        <v>84</v>
      </c>
      <c r="G485" s="8" t="n"/>
      <c r="H485" s="8" t="n"/>
      <c r="I485" s="9">
        <f>IFERROR(E485/F485,"")</f>
        <v/>
      </c>
      <c r="J485" t="n">
        <v>2</v>
      </c>
      <c r="K485" t="n">
        <v>1</v>
      </c>
      <c r="P485" t="inlineStr">
        <is>
          <t>LISTED</t>
        </is>
      </c>
      <c r="S485" t="n">
        <v>33.58551330024255</v>
      </c>
      <c r="T485" t="n">
        <v>-7.607467001105536</v>
      </c>
      <c r="U485" s="7" t="n">
        <v>5177</v>
      </c>
      <c r="V485" t="inlineStr"/>
      <c r="W485" s="10" t="inlineStr">
        <is>
          <t>https://yakeey.com/fr-ma/achat/biens/21204</t>
        </is>
      </c>
    </row>
    <row r="486">
      <c r="A486" s="2" t="inlineStr">
        <is>
          <t>21213</t>
        </is>
      </c>
      <c r="B486" s="2" t="inlineStr">
        <is>
          <t>APARTMENT</t>
        </is>
      </c>
      <c r="C486" s="2" t="inlineStr">
        <is>
          <t>Lotissement Regraga</t>
        </is>
      </c>
      <c r="D486" s="2" t="inlineStr">
        <is>
          <t>Berrechid</t>
        </is>
      </c>
      <c r="E486" s="3" t="n">
        <v>700000</v>
      </c>
      <c r="F486" s="4" t="n">
        <v>96</v>
      </c>
      <c r="G486" s="4" t="n"/>
      <c r="H486" s="4" t="n"/>
      <c r="I486" s="5">
        <f>IFERROR(E486/F486,"")</f>
        <v/>
      </c>
      <c r="J486" s="2" t="n">
        <v>2</v>
      </c>
      <c r="K486" s="2" t="n">
        <v>1</v>
      </c>
      <c r="L486" s="2" t="n"/>
      <c r="M486" s="2" t="n"/>
      <c r="N486" s="2" t="n"/>
      <c r="O486" s="2" t="n"/>
      <c r="P486" s="2" t="inlineStr">
        <is>
          <t>LISTED</t>
        </is>
      </c>
      <c r="Q486" s="2" t="n"/>
      <c r="R486" s="2" t="n"/>
      <c r="S486" s="2" t="n">
        <v>33.25658150704515</v>
      </c>
      <c r="T486" s="2" t="n">
        <v>-7.572272753309807</v>
      </c>
      <c r="U486" s="3" t="n">
        <v>4027</v>
      </c>
      <c r="V486" s="2" t="inlineStr"/>
      <c r="W486" s="6" t="inlineStr">
        <is>
          <t>https://yakeey.com/fr-ma/achat/biens/21213</t>
        </is>
      </c>
    </row>
    <row r="487">
      <c r="A487" t="inlineStr">
        <is>
          <t>21226</t>
        </is>
      </c>
      <c r="B487" t="inlineStr">
        <is>
          <t>APARTMENT</t>
        </is>
      </c>
      <c r="C487" t="inlineStr">
        <is>
          <t>Hopitaux</t>
        </is>
      </c>
      <c r="D487" t="inlineStr">
        <is>
          <t>Casablanca</t>
        </is>
      </c>
      <c r="E487" s="7" t="n">
        <v>1250000</v>
      </c>
      <c r="F487" s="8" t="n">
        <v>90</v>
      </c>
      <c r="G487" s="8" t="n"/>
      <c r="H487" s="8" t="n"/>
      <c r="I487" s="9">
        <f>IFERROR(E487/F487,"")</f>
        <v/>
      </c>
      <c r="J487" t="n">
        <v>2</v>
      </c>
      <c r="K487" t="n">
        <v>1</v>
      </c>
      <c r="P487" t="inlineStr">
        <is>
          <t>LISTED</t>
        </is>
      </c>
      <c r="S487" t="n">
        <v>33.57248442337198</v>
      </c>
      <c r="T487" t="n">
        <v>-7.617007632632626</v>
      </c>
      <c r="U487" s="7" t="n">
        <v>7191</v>
      </c>
      <c r="V487" t="inlineStr"/>
      <c r="W487" s="10" t="inlineStr">
        <is>
          <t>https://yakeey.com/fr-ma/achat/biens/21226</t>
        </is>
      </c>
    </row>
    <row r="488">
      <c r="A488" s="2" t="inlineStr">
        <is>
          <t>21592</t>
        </is>
      </c>
      <c r="B488" s="2" t="inlineStr">
        <is>
          <t>APARTMENT</t>
        </is>
      </c>
      <c r="C488" s="2" t="inlineStr">
        <is>
          <t>Derb Ghalef</t>
        </is>
      </c>
      <c r="D488" s="2" t="inlineStr">
        <is>
          <t>Casablanca</t>
        </is>
      </c>
      <c r="E488" s="3" t="n">
        <v>1550000</v>
      </c>
      <c r="F488" s="4" t="n">
        <v>124</v>
      </c>
      <c r="G488" s="4" t="n"/>
      <c r="H488" s="4" t="n"/>
      <c r="I488" s="5">
        <f>IFERROR(E488/F488,"")</f>
        <v/>
      </c>
      <c r="J488" s="2" t="n">
        <v>3</v>
      </c>
      <c r="K488" s="2" t="n">
        <v>2</v>
      </c>
      <c r="L488" s="2" t="n"/>
      <c r="M488" s="2" t="n"/>
      <c r="N488" s="2" t="n"/>
      <c r="O488" s="2" t="n"/>
      <c r="P488" s="2" t="inlineStr">
        <is>
          <t>LISTED</t>
        </is>
      </c>
      <c r="Q488" s="2" t="n"/>
      <c r="R488" s="2" t="n"/>
      <c r="S488" s="2" t="n">
        <v>33.56950825068035</v>
      </c>
      <c r="T488" s="2" t="n">
        <v>-7.626909451108404</v>
      </c>
      <c r="U488" s="3" t="n">
        <v>8917</v>
      </c>
      <c r="V488" s="2" t="inlineStr"/>
      <c r="W488" s="6" t="inlineStr">
        <is>
          <t>https://yakeey.com/fr-ma/achat/biens/21592</t>
        </is>
      </c>
    </row>
    <row r="489">
      <c r="A489" t="inlineStr">
        <is>
          <t>22173</t>
        </is>
      </c>
      <c r="B489" t="inlineStr">
        <is>
          <t>APARTMENT</t>
        </is>
      </c>
      <c r="C489" t="inlineStr">
        <is>
          <t>Zone Industrielle Ain Sebaa</t>
        </is>
      </c>
      <c r="D489" t="inlineStr">
        <is>
          <t>Casablanca</t>
        </is>
      </c>
      <c r="E489" s="7" t="n">
        <v>1246000</v>
      </c>
      <c r="F489" s="8" t="n">
        <v>111</v>
      </c>
      <c r="G489" s="8" t="n"/>
      <c r="H489" s="8" t="n"/>
      <c r="I489" s="9">
        <f>IFERROR(E489/F489,"")</f>
        <v/>
      </c>
      <c r="J489" t="n">
        <v>3</v>
      </c>
      <c r="K489" t="n">
        <v>2</v>
      </c>
      <c r="P489" t="inlineStr">
        <is>
          <t>LISTED</t>
        </is>
      </c>
      <c r="S489" t="n">
        <v>33.61154910682633</v>
      </c>
      <c r="T489" t="n">
        <v>-7.548895560143996</v>
      </c>
      <c r="U489" s="7" t="n">
        <v>7168</v>
      </c>
      <c r="V489" t="inlineStr"/>
      <c r="W489" s="10" t="inlineStr">
        <is>
          <t>https://yakeey.com/fr-ma/achat/biens/22173</t>
        </is>
      </c>
    </row>
    <row r="490">
      <c r="A490" s="2" t="inlineStr">
        <is>
          <t>22175</t>
        </is>
      </c>
      <c r="B490" s="2" t="inlineStr">
        <is>
          <t>APARTMENT</t>
        </is>
      </c>
      <c r="C490" s="2" t="inlineStr">
        <is>
          <t>Zone Industrielle Ain Sebaa</t>
        </is>
      </c>
      <c r="D490" s="2" t="inlineStr">
        <is>
          <t>Casablanca</t>
        </is>
      </c>
      <c r="E490" s="3" t="n">
        <v>1314000</v>
      </c>
      <c r="F490" s="4" t="n">
        <v>123</v>
      </c>
      <c r="G490" s="4" t="n"/>
      <c r="H490" s="4" t="n"/>
      <c r="I490" s="5">
        <f>IFERROR(E490/F490,"")</f>
        <v/>
      </c>
      <c r="J490" s="2" t="n">
        <v>3</v>
      </c>
      <c r="K490" s="2" t="n">
        <v>2</v>
      </c>
      <c r="L490" s="2" t="n"/>
      <c r="M490" s="2" t="n"/>
      <c r="N490" s="2" t="n"/>
      <c r="O490" s="2" t="n"/>
      <c r="P490" s="2" t="inlineStr">
        <is>
          <t>LISTED</t>
        </is>
      </c>
      <c r="Q490" s="2" t="n"/>
      <c r="R490" s="2" t="n"/>
      <c r="S490" s="2" t="n">
        <v>33.61109288685939</v>
      </c>
      <c r="T490" s="2" t="n">
        <v>-7.549676430257577</v>
      </c>
      <c r="U490" s="3" t="n">
        <v>7559</v>
      </c>
      <c r="V490" s="2" t="inlineStr"/>
      <c r="W490" s="6" t="inlineStr">
        <is>
          <t>https://yakeey.com/fr-ma/achat/biens/22175</t>
        </is>
      </c>
    </row>
    <row r="491">
      <c r="A491" t="inlineStr">
        <is>
          <t>22755</t>
        </is>
      </c>
      <c r="B491" t="inlineStr">
        <is>
          <t>APARTMENT</t>
        </is>
      </c>
      <c r="C491" t="inlineStr">
        <is>
          <t>Plateau</t>
        </is>
      </c>
      <c r="D491" t="inlineStr">
        <is>
          <t>Casablanca</t>
        </is>
      </c>
      <c r="E491" s="7" t="n">
        <v>1988000</v>
      </c>
      <c r="F491" s="8" t="n">
        <v>155</v>
      </c>
      <c r="G491" s="8" t="n"/>
      <c r="H491" s="8" t="n"/>
      <c r="I491" s="9">
        <f>IFERROR(E491/F491,"")</f>
        <v/>
      </c>
      <c r="J491" t="n">
        <v>2</v>
      </c>
      <c r="K491" t="n">
        <v>1</v>
      </c>
      <c r="P491" t="inlineStr">
        <is>
          <t>LISTED</t>
        </is>
      </c>
      <c r="S491" t="n">
        <v>33.57583458784309</v>
      </c>
      <c r="T491" t="n">
        <v>-7.635827296420541</v>
      </c>
      <c r="U491" s="7" t="n">
        <v>11437</v>
      </c>
      <c r="V491" t="inlineStr"/>
      <c r="W491" s="10" t="inlineStr">
        <is>
          <t>https://yakeey.com/fr-ma/achat/biens/22755</t>
        </is>
      </c>
    </row>
    <row r="492">
      <c r="A492" s="2" t="inlineStr">
        <is>
          <t>23329</t>
        </is>
      </c>
      <c r="B492" s="2" t="inlineStr">
        <is>
          <t>APARTMENT</t>
        </is>
      </c>
      <c r="C492" s="2" t="inlineStr">
        <is>
          <t>Tamaris2</t>
        </is>
      </c>
      <c r="D492" s="2" t="inlineStr">
        <is>
          <t>Dar Bouazza</t>
        </is>
      </c>
      <c r="E492" s="3" t="n">
        <v>2500000</v>
      </c>
      <c r="F492" s="4" t="n">
        <v>210</v>
      </c>
      <c r="G492" s="4" t="n"/>
      <c r="H492" s="4" t="n"/>
      <c r="I492" s="5">
        <f>IFERROR(E492/F492,"")</f>
        <v/>
      </c>
      <c r="J492" s="2" t="n">
        <v>3</v>
      </c>
      <c r="K492" s="2" t="n">
        <v>2</v>
      </c>
      <c r="L492" s="2" t="n"/>
      <c r="M492" s="2" t="n"/>
      <c r="N492" s="2" t="n"/>
      <c r="O492" s="2" t="n"/>
      <c r="P492" s="2" t="inlineStr">
        <is>
          <t>LISTED</t>
        </is>
      </c>
      <c r="Q492" s="2" t="n"/>
      <c r="R492" s="2" t="n"/>
      <c r="S492" s="2" t="n">
        <v>33.52359915773259</v>
      </c>
      <c r="T492" s="2" t="n">
        <v>-7.826377257743161</v>
      </c>
      <c r="U492" s="3" t="n">
        <v>14382</v>
      </c>
      <c r="V492" s="2" t="inlineStr"/>
      <c r="W492" s="6" t="inlineStr">
        <is>
          <t>https://yakeey.com/fr-ma/achat/biens/23329</t>
        </is>
      </c>
    </row>
    <row r="493">
      <c r="A493" t="inlineStr">
        <is>
          <t>23390</t>
        </is>
      </c>
      <c r="B493" t="inlineStr">
        <is>
          <t>APARTMENT</t>
        </is>
      </c>
      <c r="C493" t="inlineStr">
        <is>
          <t>Facultes - Route D'El Jadida</t>
        </is>
      </c>
      <c r="D493" t="inlineStr">
        <is>
          <t>Casablanca</t>
        </is>
      </c>
      <c r="E493" s="7" t="n">
        <v>2300000</v>
      </c>
      <c r="F493" s="8" t="n">
        <v>127</v>
      </c>
      <c r="G493" s="8" t="n"/>
      <c r="H493" s="8" t="n"/>
      <c r="I493" s="9">
        <f>IFERROR(E493/F493,"")</f>
        <v/>
      </c>
      <c r="J493" t="n">
        <v>3</v>
      </c>
      <c r="P493" t="inlineStr">
        <is>
          <t>LISTED</t>
        </is>
      </c>
      <c r="S493" t="n">
        <v>33.55422443103796</v>
      </c>
      <c r="T493" t="n">
        <v>-7.6496331644794</v>
      </c>
      <c r="U493" s="7" t="n">
        <v>13232</v>
      </c>
      <c r="V493" t="inlineStr"/>
      <c r="W493" s="10" t="inlineStr">
        <is>
          <t>https://yakeey.com/fr-ma/achat/biens/23390</t>
        </is>
      </c>
    </row>
    <row r="494">
      <c r="A494" s="2" t="inlineStr">
        <is>
          <t>23617</t>
        </is>
      </c>
      <c r="B494" s="2" t="inlineStr">
        <is>
          <t>APARTMENT</t>
        </is>
      </c>
      <c r="C494" s="2" t="inlineStr">
        <is>
          <t>Florida - Mandarona</t>
        </is>
      </c>
      <c r="D494" s="2" t="inlineStr">
        <is>
          <t>Casablanca</t>
        </is>
      </c>
      <c r="E494" s="3" t="n">
        <v>1200000</v>
      </c>
      <c r="F494" s="4" t="n">
        <v>61</v>
      </c>
      <c r="G494" s="4" t="n"/>
      <c r="H494" s="4" t="n"/>
      <c r="I494" s="5">
        <f>IFERROR(E494/F494,"")</f>
        <v/>
      </c>
      <c r="J494" s="2" t="n">
        <v>2</v>
      </c>
      <c r="K494" s="2" t="n">
        <v>1</v>
      </c>
      <c r="L494" s="2" t="n"/>
      <c r="M494" s="2" t="n"/>
      <c r="N494" s="2" t="n"/>
      <c r="O494" s="2" t="n"/>
      <c r="P494" s="2" t="inlineStr">
        <is>
          <t>LISTED</t>
        </is>
      </c>
      <c r="Q494" s="2" t="n"/>
      <c r="R494" s="2" t="n"/>
      <c r="S494" s="2" t="n">
        <v>33.52977663963336</v>
      </c>
      <c r="T494" s="2" t="n">
        <v>-7.651694857066309</v>
      </c>
      <c r="U494" s="3" t="n">
        <v>6903</v>
      </c>
      <c r="V494" s="2" t="inlineStr"/>
      <c r="W494" s="6" t="inlineStr">
        <is>
          <t>https://yakeey.com/fr-ma/achat/biens/23617</t>
        </is>
      </c>
    </row>
    <row r="495">
      <c r="A495" t="inlineStr">
        <is>
          <t>23649</t>
        </is>
      </c>
      <c r="B495" t="inlineStr">
        <is>
          <t>APARTMENT</t>
        </is>
      </c>
      <c r="C495" t="inlineStr">
        <is>
          <t>Burger</t>
        </is>
      </c>
      <c r="D495" t="inlineStr">
        <is>
          <t>Casablanca</t>
        </is>
      </c>
      <c r="E495" s="7" t="n">
        <v>2200000</v>
      </c>
      <c r="F495" s="8" t="n">
        <v>164</v>
      </c>
      <c r="G495" s="8" t="n"/>
      <c r="H495" s="8" t="n"/>
      <c r="I495" s="9">
        <f>IFERROR(E495/F495,"")</f>
        <v/>
      </c>
      <c r="J495" t="n">
        <v>3</v>
      </c>
      <c r="K495" t="n">
        <v>2</v>
      </c>
      <c r="P495" t="inlineStr">
        <is>
          <t>LISTED</t>
        </is>
      </c>
      <c r="S495" t="n">
        <v>33.57090891900467</v>
      </c>
      <c r="T495" t="n">
        <v>-7.647389032645286</v>
      </c>
      <c r="U495" s="7" t="n">
        <v>12656</v>
      </c>
      <c r="V495" t="inlineStr"/>
      <c r="W495" s="10" t="inlineStr">
        <is>
          <t>https://yakeey.com/fr-ma/achat/biens/23649</t>
        </is>
      </c>
    </row>
    <row r="496">
      <c r="A496" s="2" t="inlineStr">
        <is>
          <t>23712</t>
        </is>
      </c>
      <c r="B496" s="2" t="inlineStr">
        <is>
          <t>APARTMENT</t>
        </is>
      </c>
      <c r="C496" s="2" t="inlineStr">
        <is>
          <t>Belvedere (Roches Noires)</t>
        </is>
      </c>
      <c r="D496" s="2" t="inlineStr">
        <is>
          <t>Casablanca</t>
        </is>
      </c>
      <c r="E496" s="3" t="n">
        <v>1700000</v>
      </c>
      <c r="F496" s="4" t="n">
        <v>212</v>
      </c>
      <c r="G496" s="4" t="n"/>
      <c r="H496" s="4" t="n"/>
      <c r="I496" s="5">
        <f>IFERROR(E496/F496,"")</f>
        <v/>
      </c>
      <c r="J496" s="2" t="n">
        <v>3</v>
      </c>
      <c r="K496" s="2" t="n">
        <v>2</v>
      </c>
      <c r="L496" s="2" t="n"/>
      <c r="M496" s="2" t="n"/>
      <c r="N496" s="2" t="n"/>
      <c r="O496" s="2" t="n"/>
      <c r="P496" s="2" t="inlineStr">
        <is>
          <t>LISTED</t>
        </is>
      </c>
      <c r="Q496" s="2" t="n"/>
      <c r="R496" s="2" t="n"/>
      <c r="S496" s="2" t="n">
        <v>33.59203553928803</v>
      </c>
      <c r="T496" s="2" t="n">
        <v>-7.601455481907024</v>
      </c>
      <c r="U496" s="3" t="n">
        <v>9780</v>
      </c>
      <c r="V496" s="2" t="inlineStr"/>
      <c r="W496" s="6" t="inlineStr">
        <is>
          <t>https://yakeey.com/fr-ma/achat/biens/23712</t>
        </is>
      </c>
    </row>
    <row r="497">
      <c r="A497" t="inlineStr">
        <is>
          <t>23984</t>
        </is>
      </c>
      <c r="B497" t="inlineStr">
        <is>
          <t>APARTMENT</t>
        </is>
      </c>
      <c r="C497" t="inlineStr">
        <is>
          <t>Mandarouna</t>
        </is>
      </c>
      <c r="D497" t="inlineStr">
        <is>
          <t>Casablanca</t>
        </is>
      </c>
      <c r="E497" s="7" t="n">
        <v>1100000</v>
      </c>
      <c r="F497" s="8" t="n">
        <v>88</v>
      </c>
      <c r="G497" s="8" t="n"/>
      <c r="H497" s="8" t="n"/>
      <c r="I497" s="9">
        <f>IFERROR(E497/F497,"")</f>
        <v/>
      </c>
      <c r="J497" t="n">
        <v>3</v>
      </c>
      <c r="K497" t="n">
        <v>1</v>
      </c>
      <c r="P497" t="inlineStr">
        <is>
          <t>LISTED</t>
        </is>
      </c>
      <c r="S497" t="n">
        <v>33.5307306964041</v>
      </c>
      <c r="T497" t="n">
        <v>-7.61409122174099</v>
      </c>
      <c r="U497" s="7" t="n">
        <v>6328</v>
      </c>
      <c r="V497" t="inlineStr"/>
      <c r="W497" s="10" t="inlineStr">
        <is>
          <t>https://yakeey.com/fr-ma/achat/biens/23984</t>
        </is>
      </c>
    </row>
    <row r="498">
      <c r="A498" s="2" t="inlineStr">
        <is>
          <t>24593</t>
        </is>
      </c>
      <c r="B498" s="2" t="inlineStr">
        <is>
          <t>APARTMENT</t>
        </is>
      </c>
      <c r="C498" s="2" t="inlineStr">
        <is>
          <t>Nouaceur</t>
        </is>
      </c>
      <c r="D498" s="2" t="inlineStr">
        <is>
          <t>Casablanca</t>
        </is>
      </c>
      <c r="E498" s="3" t="n">
        <v>840000</v>
      </c>
      <c r="F498" s="4" t="n">
        <v>110</v>
      </c>
      <c r="G498" s="4" t="n"/>
      <c r="H498" s="4" t="n"/>
      <c r="I498" s="5">
        <f>IFERROR(E498/F498,"")</f>
        <v/>
      </c>
      <c r="J498" s="2" t="n">
        <v>2</v>
      </c>
      <c r="K498" s="2" t="n">
        <v>2</v>
      </c>
      <c r="L498" s="2" t="n"/>
      <c r="M498" s="2" t="n"/>
      <c r="N498" s="2" t="n"/>
      <c r="O498" s="2" t="n"/>
      <c r="P498" s="2" t="inlineStr">
        <is>
          <t>LISTED</t>
        </is>
      </c>
      <c r="Q498" s="2" t="n"/>
      <c r="R498" s="2" t="n"/>
      <c r="S498" s="2" t="n">
        <v>33.38556077060231</v>
      </c>
      <c r="T498" s="2" t="n">
        <v>-7.557689844338127</v>
      </c>
      <c r="U498" s="3" t="n">
        <v>4832</v>
      </c>
      <c r="V498" s="2" t="inlineStr"/>
      <c r="W498" s="6" t="inlineStr">
        <is>
          <t>https://yakeey.com/fr-ma/achat/biens/24593</t>
        </is>
      </c>
    </row>
    <row r="499">
      <c r="A499" t="inlineStr">
        <is>
          <t>2544</t>
        </is>
      </c>
      <c r="B499" t="inlineStr">
        <is>
          <t>APARTMENT</t>
        </is>
      </c>
      <c r="C499" t="inlineStr">
        <is>
          <t>Bourgogne (Sidi Belyout)</t>
        </is>
      </c>
      <c r="D499" t="inlineStr">
        <is>
          <t>Casablanca</t>
        </is>
      </c>
      <c r="E499" s="7" t="n">
        <v>2100000</v>
      </c>
      <c r="F499" s="8" t="n">
        <v>126</v>
      </c>
      <c r="G499" s="8" t="n"/>
      <c r="H499" s="8" t="n"/>
      <c r="I499" s="9">
        <f>IFERROR(E499/F499,"")</f>
        <v/>
      </c>
      <c r="J499" t="n">
        <v>3</v>
      </c>
      <c r="K499" t="n">
        <v>2</v>
      </c>
      <c r="P499" t="inlineStr">
        <is>
          <t>LISTED</t>
        </is>
      </c>
      <c r="S499" t="n">
        <v>33.59562544789486</v>
      </c>
      <c r="T499" t="n">
        <v>-7.630369346302512</v>
      </c>
      <c r="U499" s="7" t="n">
        <v>12081</v>
      </c>
      <c r="V499" t="inlineStr"/>
      <c r="W499" s="10" t="inlineStr">
        <is>
          <t>https://yakeey.com/fr-ma/achat/biens/2544</t>
        </is>
      </c>
    </row>
    <row r="500">
      <c r="A500" s="2" t="inlineStr">
        <is>
          <t>25441</t>
        </is>
      </c>
      <c r="B500" s="2" t="inlineStr">
        <is>
          <t>APARTMENT</t>
        </is>
      </c>
      <c r="C500" s="2" t="inlineStr">
        <is>
          <t>Racine</t>
        </is>
      </c>
      <c r="D500" s="2" t="inlineStr">
        <is>
          <t>Casablanca</t>
        </is>
      </c>
      <c r="E500" s="3" t="n">
        <v>3200000</v>
      </c>
      <c r="F500" s="4" t="n">
        <v>187</v>
      </c>
      <c r="G500" s="4" t="n"/>
      <c r="H500" s="4" t="n"/>
      <c r="I500" s="5">
        <f>IFERROR(E500/F500,"")</f>
        <v/>
      </c>
      <c r="J500" s="2" t="n">
        <v>3</v>
      </c>
      <c r="K500" s="2" t="n">
        <v>2</v>
      </c>
      <c r="L500" s="2" t="n"/>
      <c r="M500" s="2" t="n"/>
      <c r="N500" s="2" t="n"/>
      <c r="O500" s="2" t="n"/>
      <c r="P500" s="2" t="inlineStr">
        <is>
          <t>LISTED</t>
        </is>
      </c>
      <c r="Q500" s="2" t="n"/>
      <c r="R500" s="2" t="n"/>
      <c r="S500" s="2" t="n">
        <v>33.59541066348468</v>
      </c>
      <c r="T500" s="2" t="n">
        <v>-7.65236284951828</v>
      </c>
      <c r="U500" s="3" t="n">
        <v>18409</v>
      </c>
      <c r="V500" s="2" t="inlineStr"/>
      <c r="W500" s="6" t="inlineStr">
        <is>
          <t>https://yakeey.com/fr-ma/achat/biens/25441</t>
        </is>
      </c>
    </row>
    <row r="501">
      <c r="A501" t="inlineStr">
        <is>
          <t>25451</t>
        </is>
      </c>
      <c r="B501" t="inlineStr">
        <is>
          <t>APARTMENT</t>
        </is>
      </c>
      <c r="C501" t="inlineStr">
        <is>
          <t>Gauthier</t>
        </is>
      </c>
      <c r="D501" t="inlineStr">
        <is>
          <t>Casablanca</t>
        </is>
      </c>
      <c r="E501" s="7" t="n">
        <v>3200000</v>
      </c>
      <c r="F501" s="8" t="n">
        <v>174</v>
      </c>
      <c r="G501" s="8" t="n"/>
      <c r="H501" s="8" t="n"/>
      <c r="I501" s="9">
        <f>IFERROR(E501/F501,"")</f>
        <v/>
      </c>
      <c r="J501" t="n">
        <v>3</v>
      </c>
      <c r="K501" t="n">
        <v>3</v>
      </c>
      <c r="P501" t="inlineStr">
        <is>
          <t>LISTED</t>
        </is>
      </c>
      <c r="S501" t="n">
        <v>33.59013937941346</v>
      </c>
      <c r="T501" t="n">
        <v>-7.634298615666389</v>
      </c>
      <c r="U501" s="7" t="n">
        <v>18409</v>
      </c>
      <c r="V501" t="inlineStr"/>
      <c r="W501" s="10" t="inlineStr">
        <is>
          <t>https://yakeey.com/fr-ma/achat/biens/25451</t>
        </is>
      </c>
    </row>
    <row r="502">
      <c r="A502" s="2" t="inlineStr">
        <is>
          <t>2604</t>
        </is>
      </c>
      <c r="B502" s="2" t="inlineStr">
        <is>
          <t>APARTMENT</t>
        </is>
      </c>
      <c r="C502" s="2" t="inlineStr">
        <is>
          <t>Liberte</t>
        </is>
      </c>
      <c r="D502" s="2" t="inlineStr">
        <is>
          <t>Casablanca</t>
        </is>
      </c>
      <c r="E502" s="3" t="n">
        <v>1350000</v>
      </c>
      <c r="F502" s="4" t="n">
        <v>101</v>
      </c>
      <c r="G502" s="4" t="n"/>
      <c r="H502" s="4" t="n"/>
      <c r="I502" s="5">
        <f>IFERROR(E502/F502,"")</f>
        <v/>
      </c>
      <c r="J502" s="2" t="n">
        <v>2</v>
      </c>
      <c r="K502" s="2" t="n">
        <v>2</v>
      </c>
      <c r="L502" s="2" t="n"/>
      <c r="M502" s="2" t="n"/>
      <c r="N502" s="2" t="n"/>
      <c r="O502" s="2" t="n"/>
      <c r="P502" s="2" t="inlineStr">
        <is>
          <t>LISTED</t>
        </is>
      </c>
      <c r="Q502" s="2" t="n"/>
      <c r="R502" s="2" t="n"/>
      <c r="S502" s="2" t="n">
        <v>33.58322557327164</v>
      </c>
      <c r="T502" s="2" t="n">
        <v>-7.613288303243696</v>
      </c>
      <c r="U502" s="3" t="n">
        <v>7766</v>
      </c>
      <c r="V502" s="2" t="inlineStr"/>
      <c r="W502" s="6" t="inlineStr">
        <is>
          <t>https://yakeey.com/fr-ma/achat/biens/2604</t>
        </is>
      </c>
    </row>
    <row r="503">
      <c r="A503" t="inlineStr">
        <is>
          <t>2607</t>
        </is>
      </c>
      <c r="B503" t="inlineStr">
        <is>
          <t>APARTMENT</t>
        </is>
      </c>
      <c r="C503" t="inlineStr">
        <is>
          <t>Bourgogne (Anfa)</t>
        </is>
      </c>
      <c r="D503" t="inlineStr">
        <is>
          <t>Casablanca</t>
        </is>
      </c>
      <c r="E503" s="7" t="n">
        <v>1400000</v>
      </c>
      <c r="F503" s="8" t="n">
        <v>100</v>
      </c>
      <c r="G503" s="8" t="n"/>
      <c r="H503" s="8" t="n"/>
      <c r="I503" s="9">
        <f>IFERROR(E503/F503,"")</f>
        <v/>
      </c>
      <c r="J503" t="n">
        <v>2</v>
      </c>
      <c r="K503" t="n">
        <v>1</v>
      </c>
      <c r="P503" t="inlineStr">
        <is>
          <t>LISTED</t>
        </is>
      </c>
      <c r="S503" t="n">
        <v>33.60122123613525</v>
      </c>
      <c r="T503" t="n">
        <v>-7.642372911167906</v>
      </c>
      <c r="U503" s="7" t="n">
        <v>8054</v>
      </c>
      <c r="V503" t="inlineStr"/>
      <c r="W503" s="10" t="inlineStr">
        <is>
          <t>https://yakeey.com/fr-ma/achat/biens/2607</t>
        </is>
      </c>
    </row>
    <row r="504">
      <c r="A504" s="2" t="inlineStr">
        <is>
          <t>26134</t>
        </is>
      </c>
      <c r="B504" s="2" t="inlineStr">
        <is>
          <t>APARTMENT</t>
        </is>
      </c>
      <c r="C504" s="2" t="inlineStr">
        <is>
          <t>Beausejour</t>
        </is>
      </c>
      <c r="D504" s="2" t="inlineStr">
        <is>
          <t>Casablanca</t>
        </is>
      </c>
      <c r="E504" s="3" t="n">
        <v>1390000</v>
      </c>
      <c r="F504" s="4" t="n">
        <v>105</v>
      </c>
      <c r="G504" s="4" t="n"/>
      <c r="H504" s="4" t="n"/>
      <c r="I504" s="5">
        <f>IFERROR(E504/F504,"")</f>
        <v/>
      </c>
      <c r="J504" s="2" t="n">
        <v>2</v>
      </c>
      <c r="K504" s="2" t="n">
        <v>2</v>
      </c>
      <c r="L504" s="2" t="n"/>
      <c r="M504" s="2" t="n"/>
      <c r="N504" s="2" t="n"/>
      <c r="O504" s="2" t="n"/>
      <c r="P504" s="2" t="inlineStr">
        <is>
          <t>LISTED</t>
        </is>
      </c>
      <c r="Q504" s="2" t="n"/>
      <c r="R504" s="2" t="n"/>
      <c r="S504" s="2" t="n">
        <v>33.56642676475355</v>
      </c>
      <c r="T504" s="2" t="n">
        <v>-7.647734299593935</v>
      </c>
      <c r="U504" s="3" t="n">
        <v>7996</v>
      </c>
      <c r="V504" s="2" t="inlineStr"/>
      <c r="W504" s="6" t="inlineStr">
        <is>
          <t>https://yakeey.com/fr-ma/achat/biens/26134</t>
        </is>
      </c>
    </row>
    <row r="505">
      <c r="A505" t="inlineStr">
        <is>
          <t>26172</t>
        </is>
      </c>
      <c r="B505" t="inlineStr">
        <is>
          <t>APARTMENT</t>
        </is>
      </c>
      <c r="C505" t="inlineStr">
        <is>
          <t>La Gironde</t>
        </is>
      </c>
      <c r="D505" t="inlineStr">
        <is>
          <t>Casablanca</t>
        </is>
      </c>
      <c r="E505" s="7" t="n">
        <v>900000</v>
      </c>
      <c r="F505" s="8" t="n">
        <v>89</v>
      </c>
      <c r="G505" s="8" t="n"/>
      <c r="H505" s="8" t="n"/>
      <c r="I505" s="9">
        <f>IFERROR(E505/F505,"")</f>
        <v/>
      </c>
      <c r="J505" t="n">
        <v>2</v>
      </c>
      <c r="K505" t="n">
        <v>1</v>
      </c>
      <c r="P505" t="inlineStr">
        <is>
          <t>LISTED</t>
        </is>
      </c>
      <c r="S505" t="n">
        <v>33.58898452004121</v>
      </c>
      <c r="T505" t="n">
        <v>-7.60196385670317</v>
      </c>
      <c r="U505" s="7" t="n">
        <v>5177</v>
      </c>
      <c r="V505" t="inlineStr"/>
      <c r="W505" s="10" t="inlineStr">
        <is>
          <t>https://yakeey.com/fr-ma/achat/biens/26172</t>
        </is>
      </c>
    </row>
    <row r="506">
      <c r="A506" s="2" t="inlineStr">
        <is>
          <t>26420</t>
        </is>
      </c>
      <c r="B506" s="2" t="inlineStr">
        <is>
          <t>APARTMENT</t>
        </is>
      </c>
      <c r="C506" s="2" t="inlineStr">
        <is>
          <t>Hopitaux</t>
        </is>
      </c>
      <c r="D506" s="2" t="inlineStr">
        <is>
          <t>Casablanca</t>
        </is>
      </c>
      <c r="E506" s="3" t="n">
        <v>2500000</v>
      </c>
      <c r="F506" s="4" t="n">
        <v>198</v>
      </c>
      <c r="G506" s="4" t="n"/>
      <c r="H506" s="4" t="n"/>
      <c r="I506" s="5">
        <f>IFERROR(E506/F506,"")</f>
        <v/>
      </c>
      <c r="J506" s="2" t="n">
        <v>3</v>
      </c>
      <c r="K506" s="2" t="n">
        <v>2</v>
      </c>
      <c r="L506" s="2" t="n"/>
      <c r="M506" s="2" t="n"/>
      <c r="N506" s="2" t="n"/>
      <c r="O506" s="2" t="n"/>
      <c r="P506" s="2" t="inlineStr">
        <is>
          <t>LISTED</t>
        </is>
      </c>
      <c r="Q506" s="2" t="n"/>
      <c r="R506" s="2" t="n"/>
      <c r="S506" s="2" t="n">
        <v>33.56948713675144</v>
      </c>
      <c r="T506" s="2" t="n">
        <v>-7.623631056458145</v>
      </c>
      <c r="U506" s="3" t="n">
        <v>14382</v>
      </c>
      <c r="V506" s="2" t="inlineStr"/>
      <c r="W506" s="6" t="inlineStr">
        <is>
          <t>https://yakeey.com/fr-ma/achat/biens/26420</t>
        </is>
      </c>
    </row>
    <row r="507">
      <c r="A507" t="inlineStr">
        <is>
          <t>26532</t>
        </is>
      </c>
      <c r="B507" t="inlineStr">
        <is>
          <t>APARTMENT</t>
        </is>
      </c>
      <c r="C507" t="inlineStr">
        <is>
          <t>Oulfa</t>
        </is>
      </c>
      <c r="D507" t="inlineStr">
        <is>
          <t>Casablanca</t>
        </is>
      </c>
      <c r="E507" s="7" t="n">
        <v>1500000</v>
      </c>
      <c r="F507" s="8" t="n">
        <v>119</v>
      </c>
      <c r="G507" s="8" t="n"/>
      <c r="H507" s="8" t="n"/>
      <c r="I507" s="9">
        <f>IFERROR(E507/F507,"")</f>
        <v/>
      </c>
      <c r="J507" t="n">
        <v>3</v>
      </c>
      <c r="K507" t="n">
        <v>2</v>
      </c>
      <c r="P507" t="inlineStr">
        <is>
          <t>LISTED</t>
        </is>
      </c>
      <c r="S507" t="n">
        <v>33.55937926532474</v>
      </c>
      <c r="T507" t="n">
        <v>-7.675343684941326</v>
      </c>
      <c r="U507" s="7" t="n">
        <v>8629</v>
      </c>
      <c r="V507" t="inlineStr"/>
      <c r="W507" s="10" t="inlineStr">
        <is>
          <t>https://yakeey.com/fr-ma/achat/biens/26532</t>
        </is>
      </c>
    </row>
    <row r="508">
      <c r="A508" s="2" t="inlineStr">
        <is>
          <t>27358</t>
        </is>
      </c>
      <c r="B508" s="2" t="inlineStr">
        <is>
          <t>APARTMENT</t>
        </is>
      </c>
      <c r="C508" s="2" t="inlineStr">
        <is>
          <t>Les Princesses</t>
        </is>
      </c>
      <c r="D508" s="2" t="inlineStr">
        <is>
          <t>Casablanca</t>
        </is>
      </c>
      <c r="E508" s="3" t="n">
        <v>2000000</v>
      </c>
      <c r="F508" s="4" t="n">
        <v>143</v>
      </c>
      <c r="G508" s="4" t="n"/>
      <c r="H508" s="4" t="n"/>
      <c r="I508" s="5">
        <f>IFERROR(E508/F508,"")</f>
        <v/>
      </c>
      <c r="J508" s="2" t="n">
        <v>2</v>
      </c>
      <c r="K508" s="2" t="n">
        <v>1</v>
      </c>
      <c r="L508" s="2" t="n"/>
      <c r="M508" s="2" t="n"/>
      <c r="N508" s="2" t="n"/>
      <c r="O508" s="2" t="n"/>
      <c r="P508" s="2" t="inlineStr">
        <is>
          <t>LISTED</t>
        </is>
      </c>
      <c r="Q508" s="2" t="n"/>
      <c r="R508" s="2" t="n"/>
      <c r="S508" s="2" t="n">
        <v>33.58070906302669</v>
      </c>
      <c r="T508" s="2" t="n">
        <v>-7.646381854415585</v>
      </c>
      <c r="U508" s="3" t="n">
        <v>11506</v>
      </c>
      <c r="V508" s="2" t="inlineStr"/>
      <c r="W508" s="6" t="inlineStr">
        <is>
          <t>https://yakeey.com/fr-ma/achat/biens/27358</t>
        </is>
      </c>
    </row>
    <row r="509">
      <c r="A509" t="inlineStr">
        <is>
          <t>27779</t>
        </is>
      </c>
      <c r="B509" t="inlineStr">
        <is>
          <t>APARTMENT</t>
        </is>
      </c>
      <c r="C509" t="inlineStr">
        <is>
          <t>Sidi Maarouf</t>
        </is>
      </c>
      <c r="D509" t="inlineStr">
        <is>
          <t>Casablanca</t>
        </is>
      </c>
      <c r="E509" s="7" t="n">
        <v>1200000</v>
      </c>
      <c r="F509" s="8" t="n">
        <v>119</v>
      </c>
      <c r="G509" s="8" t="n"/>
      <c r="H509" s="8" t="n"/>
      <c r="I509" s="9">
        <f>IFERROR(E509/F509,"")</f>
        <v/>
      </c>
      <c r="J509" t="n">
        <v>3</v>
      </c>
      <c r="K509" t="n">
        <v>2</v>
      </c>
      <c r="P509" t="inlineStr">
        <is>
          <t>LISTED</t>
        </is>
      </c>
      <c r="S509" t="n">
        <v>33.51591093320152</v>
      </c>
      <c r="T509" t="n">
        <v>-7.656926108618885</v>
      </c>
      <c r="U509" s="7" t="n">
        <v>6903</v>
      </c>
      <c r="V509" t="inlineStr"/>
      <c r="W509" s="10" t="inlineStr">
        <is>
          <t>https://yakeey.com/fr-ma/achat/biens/27779</t>
        </is>
      </c>
    </row>
    <row r="510">
      <c r="A510" s="2" t="inlineStr">
        <is>
          <t>27815</t>
        </is>
      </c>
      <c r="B510" s="2" t="inlineStr">
        <is>
          <t>APARTMENT</t>
        </is>
      </c>
      <c r="C510" s="2" t="inlineStr">
        <is>
          <t>Burger</t>
        </is>
      </c>
      <c r="D510" s="2" t="inlineStr">
        <is>
          <t>Casablanca</t>
        </is>
      </c>
      <c r="E510" s="3" t="n">
        <v>1400000</v>
      </c>
      <c r="F510" s="4" t="n">
        <v>135</v>
      </c>
      <c r="G510" s="4" t="n"/>
      <c r="H510" s="4" t="n"/>
      <c r="I510" s="5">
        <f>IFERROR(E510/F510,"")</f>
        <v/>
      </c>
      <c r="J510" s="2" t="n">
        <v>2</v>
      </c>
      <c r="K510" s="2" t="n">
        <v>2</v>
      </c>
      <c r="L510" s="2" t="n"/>
      <c r="M510" s="2" t="n"/>
      <c r="N510" s="2" t="n"/>
      <c r="O510" s="2" t="n"/>
      <c r="P510" s="2" t="inlineStr">
        <is>
          <t>LISTED</t>
        </is>
      </c>
      <c r="Q510" s="2" t="n"/>
      <c r="R510" s="2" t="n"/>
      <c r="S510" s="2" t="n">
        <v>33.56931580996145</v>
      </c>
      <c r="T510" s="2" t="n">
        <v>-7.644254469381707</v>
      </c>
      <c r="U510" s="3" t="n">
        <v>8054</v>
      </c>
      <c r="V510" s="2" t="inlineStr"/>
      <c r="W510" s="6" t="inlineStr">
        <is>
          <t>https://yakeey.com/fr-ma/achat/biens/27815</t>
        </is>
      </c>
    </row>
    <row r="511">
      <c r="A511" t="inlineStr">
        <is>
          <t>2956</t>
        </is>
      </c>
      <c r="B511" t="inlineStr">
        <is>
          <t>APARTMENT</t>
        </is>
      </c>
      <c r="C511" t="inlineStr">
        <is>
          <t>Maarif</t>
        </is>
      </c>
      <c r="D511" t="inlineStr">
        <is>
          <t>Casablanca</t>
        </is>
      </c>
      <c r="E511" s="7" t="n">
        <v>3400000</v>
      </c>
      <c r="F511" s="8" t="n">
        <v>148</v>
      </c>
      <c r="G511" s="8" t="n"/>
      <c r="H511" s="8" t="n"/>
      <c r="I511" s="9">
        <f>IFERROR(E511/F511,"")</f>
        <v/>
      </c>
      <c r="J511" t="n">
        <v>3</v>
      </c>
      <c r="K511" t="n">
        <v>2</v>
      </c>
      <c r="P511" t="inlineStr">
        <is>
          <t>LISTED</t>
        </is>
      </c>
      <c r="S511" t="n">
        <v>33.58673657883925</v>
      </c>
      <c r="T511" t="n">
        <v>-7.6449912855716</v>
      </c>
      <c r="U511" s="7" t="n">
        <v>19560</v>
      </c>
      <c r="V511" t="inlineStr"/>
      <c r="W511" s="10" t="inlineStr">
        <is>
          <t>https://yakeey.com/fr-ma/achat/biens/2956</t>
        </is>
      </c>
    </row>
    <row r="512">
      <c r="A512" s="2" t="inlineStr">
        <is>
          <t>29738</t>
        </is>
      </c>
      <c r="B512" s="2" t="inlineStr">
        <is>
          <t>APARTMENT</t>
        </is>
      </c>
      <c r="C512" s="2" t="inlineStr">
        <is>
          <t>Mers Sultan</t>
        </is>
      </c>
      <c r="D512" s="2" t="inlineStr">
        <is>
          <t>Casablanca</t>
        </is>
      </c>
      <c r="E512" s="3" t="n">
        <v>1590000</v>
      </c>
      <c r="F512" s="4" t="n">
        <v>139</v>
      </c>
      <c r="G512" s="4" t="n"/>
      <c r="H512" s="4" t="n"/>
      <c r="I512" s="5">
        <f>IFERROR(E512/F512,"")</f>
        <v/>
      </c>
      <c r="J512" s="2" t="n">
        <v>3</v>
      </c>
      <c r="K512" s="2" t="n">
        <v>2</v>
      </c>
      <c r="L512" s="2" t="n"/>
      <c r="M512" s="2" t="n"/>
      <c r="N512" s="2" t="n"/>
      <c r="O512" s="2" t="n"/>
      <c r="P512" s="2" t="inlineStr">
        <is>
          <t>LISTED</t>
        </is>
      </c>
      <c r="Q512" s="2" t="n"/>
      <c r="R512" s="2" t="n"/>
      <c r="S512" s="2" t="n">
        <v>33.57478344079778</v>
      </c>
      <c r="T512" s="2" t="n">
        <v>-7.612942761607328</v>
      </c>
      <c r="U512" s="3" t="n">
        <v>9147</v>
      </c>
      <c r="V512" s="2" t="inlineStr"/>
      <c r="W512" s="6" t="inlineStr">
        <is>
          <t>https://yakeey.com/fr-ma/achat/biens/29738</t>
        </is>
      </c>
    </row>
    <row r="513">
      <c r="A513" t="inlineStr">
        <is>
          <t>29739</t>
        </is>
      </c>
      <c r="B513" t="inlineStr">
        <is>
          <t>APARTMENT</t>
        </is>
      </c>
      <c r="C513" t="inlineStr">
        <is>
          <t>Ain Borja</t>
        </is>
      </c>
      <c r="D513" t="inlineStr">
        <is>
          <t>Casablanca</t>
        </is>
      </c>
      <c r="E513" s="7" t="n">
        <v>920000</v>
      </c>
      <c r="F513" s="8" t="n">
        <v>88</v>
      </c>
      <c r="G513" s="8" t="n"/>
      <c r="H513" s="8" t="n"/>
      <c r="I513" s="9">
        <f>IFERROR(E513/F513,"")</f>
        <v/>
      </c>
      <c r="J513" t="n">
        <v>2</v>
      </c>
      <c r="K513" t="n">
        <v>1</v>
      </c>
      <c r="P513" t="inlineStr">
        <is>
          <t>LISTED</t>
        </is>
      </c>
      <c r="S513" t="n">
        <v>33.57809238624574</v>
      </c>
      <c r="T513" t="n">
        <v>-7.58895262240757</v>
      </c>
      <c r="U513" s="7" t="n">
        <v>5292</v>
      </c>
      <c r="V513" t="inlineStr"/>
      <c r="W513" s="10" t="inlineStr">
        <is>
          <t>https://yakeey.com/fr-ma/achat/biens/29739</t>
        </is>
      </c>
    </row>
    <row r="514">
      <c r="A514" s="2" t="inlineStr">
        <is>
          <t>29792</t>
        </is>
      </c>
      <c r="B514" s="2" t="inlineStr">
        <is>
          <t>APARTMENT</t>
        </is>
      </c>
      <c r="C514" s="2" t="inlineStr">
        <is>
          <t>Azhar Oulfa</t>
        </is>
      </c>
      <c r="D514" s="2" t="inlineStr">
        <is>
          <t>Casablanca</t>
        </is>
      </c>
      <c r="E514" s="3" t="n">
        <v>970000</v>
      </c>
      <c r="F514" s="4" t="n">
        <v>78</v>
      </c>
      <c r="G514" s="4" t="n"/>
      <c r="H514" s="4" t="n"/>
      <c r="I514" s="5">
        <f>IFERROR(E514/F514,"")</f>
        <v/>
      </c>
      <c r="J514" s="2" t="n">
        <v>2</v>
      </c>
      <c r="K514" s="2" t="n">
        <v>2</v>
      </c>
      <c r="L514" s="2" t="n"/>
      <c r="M514" s="2" t="n"/>
      <c r="N514" s="2" t="n"/>
      <c r="O514" s="2" t="n"/>
      <c r="P514" s="2" t="inlineStr">
        <is>
          <t>LISTED</t>
        </is>
      </c>
      <c r="Q514" s="2" t="n"/>
      <c r="R514" s="2" t="n"/>
      <c r="S514" s="2" t="n">
        <v>33.54994259888608</v>
      </c>
      <c r="T514" s="2" t="n">
        <v>-7.695180783294099</v>
      </c>
      <c r="U514" s="3" t="n">
        <v>5580</v>
      </c>
      <c r="V514" s="2" t="inlineStr"/>
      <c r="W514" s="6" t="inlineStr">
        <is>
          <t>https://yakeey.com/fr-ma/achat/biens/29792</t>
        </is>
      </c>
    </row>
    <row r="515">
      <c r="A515" t="inlineStr">
        <is>
          <t>29816</t>
        </is>
      </c>
      <c r="B515" t="inlineStr">
        <is>
          <t>APARTMENT</t>
        </is>
      </c>
      <c r="C515" t="inlineStr">
        <is>
          <t>Sidi Othmane</t>
        </is>
      </c>
      <c r="D515" t="inlineStr">
        <is>
          <t>Casablanca</t>
        </is>
      </c>
      <c r="E515" s="7" t="n">
        <v>582230</v>
      </c>
      <c r="F515" s="8" t="n">
        <v>61</v>
      </c>
      <c r="G515" s="8" t="n"/>
      <c r="H515" s="8" t="n"/>
      <c r="I515" s="9">
        <f>IFERROR(E515/F515,"")</f>
        <v/>
      </c>
      <c r="J515" t="n">
        <v>3</v>
      </c>
      <c r="K515" t="n">
        <v>1</v>
      </c>
      <c r="P515" t="inlineStr">
        <is>
          <t>LISTED</t>
        </is>
      </c>
      <c r="S515" t="n">
        <v>33.55033688672658</v>
      </c>
      <c r="T515" t="n">
        <v>-7.552322416180354</v>
      </c>
      <c r="U515" s="7" t="n">
        <v>3349</v>
      </c>
      <c r="V515" t="inlineStr"/>
      <c r="W515" s="10" t="inlineStr">
        <is>
          <t>https://yakeey.com/fr-ma/achat/biens/29816</t>
        </is>
      </c>
    </row>
    <row r="516">
      <c r="A516" s="2" t="inlineStr">
        <is>
          <t>30013</t>
        </is>
      </c>
      <c r="B516" s="2" t="inlineStr">
        <is>
          <t>APARTMENT</t>
        </is>
      </c>
      <c r="C516" s="2" t="inlineStr">
        <is>
          <t>Californie</t>
        </is>
      </c>
      <c r="D516" s="2" t="inlineStr">
        <is>
          <t>Casablanca</t>
        </is>
      </c>
      <c r="E516" s="3" t="n">
        <v>4000000</v>
      </c>
      <c r="F516" s="4" t="n">
        <v>269</v>
      </c>
      <c r="G516" s="4" t="n"/>
      <c r="H516" s="4" t="n"/>
      <c r="I516" s="5">
        <f>IFERROR(E516/F516,"")</f>
        <v/>
      </c>
      <c r="J516" s="2" t="n">
        <v>3</v>
      </c>
      <c r="K516" s="2" t="n">
        <v>3</v>
      </c>
      <c r="L516" s="2" t="n"/>
      <c r="M516" s="2" t="n"/>
      <c r="N516" s="2" t="n"/>
      <c r="O516" s="2" t="n"/>
      <c r="P516" s="2" t="inlineStr">
        <is>
          <t>LISTED</t>
        </is>
      </c>
      <c r="Q516" s="2" t="n"/>
      <c r="R516" s="2" t="n"/>
      <c r="S516" s="2" t="n">
        <v>33.52671114306531</v>
      </c>
      <c r="T516" s="2" t="n">
        <v>-7.611925745679039</v>
      </c>
      <c r="U516" s="3" t="n">
        <v>23012</v>
      </c>
      <c r="V516" s="2" t="inlineStr"/>
      <c r="W516" s="6" t="inlineStr">
        <is>
          <t>https://yakeey.com/fr-ma/achat/biens/30013</t>
        </is>
      </c>
    </row>
    <row r="517">
      <c r="A517" t="inlineStr">
        <is>
          <t>30195</t>
        </is>
      </c>
      <c r="B517" t="inlineStr">
        <is>
          <t>APARTMENT</t>
        </is>
      </c>
      <c r="C517" t="inlineStr">
        <is>
          <t>Roches Noires</t>
        </is>
      </c>
      <c r="D517" t="inlineStr">
        <is>
          <t>Casablanca</t>
        </is>
      </c>
      <c r="E517" s="7" t="n">
        <v>1030000</v>
      </c>
      <c r="F517" s="8" t="n">
        <v>103</v>
      </c>
      <c r="G517" s="8" t="n"/>
      <c r="H517" s="8" t="n"/>
      <c r="I517" s="9">
        <f>IFERROR(E517/F517,"")</f>
        <v/>
      </c>
      <c r="J517" t="n">
        <v>2</v>
      </c>
      <c r="K517" t="n">
        <v>2</v>
      </c>
      <c r="P517" t="inlineStr">
        <is>
          <t>LISTED</t>
        </is>
      </c>
      <c r="S517" t="n">
        <v>33.60092366756857</v>
      </c>
      <c r="T517" t="n">
        <v>-7.585422925386069</v>
      </c>
      <c r="U517" s="7" t="n">
        <v>5925</v>
      </c>
      <c r="V517" t="inlineStr"/>
      <c r="W517" s="10" t="inlineStr">
        <is>
          <t>https://yakeey.com/fr-ma/achat/biens/30195</t>
        </is>
      </c>
    </row>
    <row r="518">
      <c r="A518" s="2" t="inlineStr">
        <is>
          <t>311</t>
        </is>
      </c>
      <c r="B518" s="2" t="inlineStr">
        <is>
          <t>APARTMENT</t>
        </is>
      </c>
      <c r="C518" s="2" t="inlineStr">
        <is>
          <t>Maarif</t>
        </is>
      </c>
      <c r="D518" s="2" t="inlineStr">
        <is>
          <t>Casablanca</t>
        </is>
      </c>
      <c r="E518" s="3" t="n">
        <v>3900000</v>
      </c>
      <c r="F518" s="4" t="n">
        <v>230</v>
      </c>
      <c r="G518" s="4" t="n"/>
      <c r="H518" s="4" t="n"/>
      <c r="I518" s="5">
        <f>IFERROR(E518/F518,"")</f>
        <v/>
      </c>
      <c r="J518" s="2" t="n">
        <v>3</v>
      </c>
      <c r="K518" s="2" t="n">
        <v>3</v>
      </c>
      <c r="L518" s="2" t="n"/>
      <c r="M518" s="2" t="n"/>
      <c r="N518" s="2" t="n"/>
      <c r="O518" s="2" t="n"/>
      <c r="P518" s="2" t="inlineStr">
        <is>
          <t>LISTED</t>
        </is>
      </c>
      <c r="Q518" s="2" t="n"/>
      <c r="R518" s="2" t="n"/>
      <c r="S518" s="2" t="n">
        <v>33.58618175181678</v>
      </c>
      <c r="T518" s="2" t="n">
        <v>-7.64743709661392</v>
      </c>
      <c r="U518" s="3" t="n">
        <v>22436</v>
      </c>
      <c r="V518" s="2" t="inlineStr"/>
      <c r="W518" s="6" t="inlineStr">
        <is>
          <t>https://yakeey.com/fr-ma/achat/biens/311</t>
        </is>
      </c>
    </row>
    <row r="519">
      <c r="A519" t="inlineStr">
        <is>
          <t>3115</t>
        </is>
      </c>
      <c r="B519" t="inlineStr">
        <is>
          <t>APARTMENT</t>
        </is>
      </c>
      <c r="C519" t="inlineStr">
        <is>
          <t>Plateau</t>
        </is>
      </c>
      <c r="D519" t="inlineStr">
        <is>
          <t>Casablanca</t>
        </is>
      </c>
      <c r="E519" s="7" t="n">
        <v>1650000</v>
      </c>
      <c r="F519" s="8" t="n">
        <v>121</v>
      </c>
      <c r="G519" s="8" t="n"/>
      <c r="H519" s="8" t="n"/>
      <c r="I519" s="9">
        <f>IFERROR(E519/F519,"")</f>
        <v/>
      </c>
      <c r="J519" t="n">
        <v>3</v>
      </c>
      <c r="K519" t="n">
        <v>2</v>
      </c>
      <c r="P519" t="inlineStr">
        <is>
          <t>LISTED</t>
        </is>
      </c>
      <c r="S519" t="n">
        <v>33.5658426014671</v>
      </c>
      <c r="T519" t="n">
        <v>-7.627842175356519</v>
      </c>
      <c r="U519" s="7" t="n">
        <v>9492</v>
      </c>
      <c r="V519" t="inlineStr"/>
      <c r="W519" s="10" t="inlineStr">
        <is>
          <t>https://yakeey.com/fr-ma/achat/biens/3115</t>
        </is>
      </c>
    </row>
    <row r="520">
      <c r="A520" s="2" t="inlineStr">
        <is>
          <t>3124</t>
        </is>
      </c>
      <c r="B520" s="2" t="inlineStr">
        <is>
          <t>APARTMENT</t>
        </is>
      </c>
      <c r="C520" s="2" t="inlineStr">
        <is>
          <t>Gauthier</t>
        </is>
      </c>
      <c r="D520" s="2" t="inlineStr">
        <is>
          <t>Casablanca</t>
        </is>
      </c>
      <c r="E520" s="3" t="n">
        <v>4800000</v>
      </c>
      <c r="F520" s="4" t="n">
        <v>249</v>
      </c>
      <c r="G520" s="4" t="n"/>
      <c r="H520" s="4" t="n"/>
      <c r="I520" s="5">
        <f>IFERROR(E520/F520,"")</f>
        <v/>
      </c>
      <c r="J520" s="2" t="n">
        <v>3</v>
      </c>
      <c r="K520" s="2" t="n">
        <v>3</v>
      </c>
      <c r="L520" s="2" t="n"/>
      <c r="M520" s="2" t="n"/>
      <c r="N520" s="2" t="n"/>
      <c r="O520" s="2" t="n"/>
      <c r="P520" s="2" t="inlineStr">
        <is>
          <t>LISTED</t>
        </is>
      </c>
      <c r="Q520" s="2" t="n"/>
      <c r="R520" s="2" t="n"/>
      <c r="S520" s="2" t="n">
        <v>33.59051660264507</v>
      </c>
      <c r="T520" s="2" t="n">
        <v>-7.631906130368412</v>
      </c>
      <c r="U520" s="3" t="n">
        <v>27614</v>
      </c>
      <c r="V520" s="2" t="inlineStr"/>
      <c r="W520" s="6" t="inlineStr">
        <is>
          <t>https://yakeey.com/fr-ma/achat/biens/3124</t>
        </is>
      </c>
    </row>
    <row r="521">
      <c r="A521" t="inlineStr">
        <is>
          <t>31311</t>
        </is>
      </c>
      <c r="B521" t="inlineStr">
        <is>
          <t>APARTMENT</t>
        </is>
      </c>
      <c r="C521" t="inlineStr">
        <is>
          <t>Hopitaux</t>
        </is>
      </c>
      <c r="D521" t="inlineStr">
        <is>
          <t>Casablanca</t>
        </is>
      </c>
      <c r="E521" s="7" t="n">
        <v>1650000</v>
      </c>
      <c r="F521" s="8" t="n">
        <v>122</v>
      </c>
      <c r="G521" s="8" t="n"/>
      <c r="H521" s="8" t="n"/>
      <c r="I521" s="9">
        <f>IFERROR(E521/F521,"")</f>
        <v/>
      </c>
      <c r="J521" t="n">
        <v>3</v>
      </c>
      <c r="K521" t="n">
        <v>2</v>
      </c>
      <c r="P521" t="inlineStr">
        <is>
          <t>LISTED</t>
        </is>
      </c>
      <c r="S521" t="n">
        <v>33.57425782259585</v>
      </c>
      <c r="T521" t="n">
        <v>-7.625016014792349</v>
      </c>
      <c r="U521" s="7" t="n">
        <v>9492</v>
      </c>
      <c r="V521" t="inlineStr"/>
      <c r="W521" s="10" t="inlineStr">
        <is>
          <t>https://yakeey.com/fr-ma/achat/biens/31311</t>
        </is>
      </c>
    </row>
    <row r="522">
      <c r="A522" s="2" t="inlineStr">
        <is>
          <t>31740</t>
        </is>
      </c>
      <c r="B522" s="2" t="inlineStr">
        <is>
          <t>APARTMENT</t>
        </is>
      </c>
      <c r="C522" s="2" t="inlineStr">
        <is>
          <t>Benmsick</t>
        </is>
      </c>
      <c r="D522" s="2" t="inlineStr">
        <is>
          <t>Casablanca</t>
        </is>
      </c>
      <c r="E522" s="3" t="n">
        <v>1400000</v>
      </c>
      <c r="F522" s="4" t="n">
        <v>189</v>
      </c>
      <c r="G522" s="4" t="n"/>
      <c r="H522" s="4" t="n"/>
      <c r="I522" s="5">
        <f>IFERROR(E522/F522,"")</f>
        <v/>
      </c>
      <c r="J522" s="2" t="n">
        <v>4</v>
      </c>
      <c r="K522" s="2" t="n">
        <v>2</v>
      </c>
      <c r="L522" s="2" t="n"/>
      <c r="M522" s="2" t="n"/>
      <c r="N522" s="2" t="n"/>
      <c r="O522" s="2" t="n"/>
      <c r="P522" s="2" t="inlineStr">
        <is>
          <t>LISTED</t>
        </is>
      </c>
      <c r="Q522" s="2" t="n"/>
      <c r="R522" s="2" t="n"/>
      <c r="S522" s="2" t="n">
        <v>33.55377642859601</v>
      </c>
      <c r="T522" s="2" t="n">
        <v>-7.590583060240118</v>
      </c>
      <c r="U522" s="3" t="n">
        <v>8054</v>
      </c>
      <c r="V522" s="2" t="inlineStr"/>
      <c r="W522" s="6" t="inlineStr">
        <is>
          <t>https://yakeey.com/fr-ma/achat/biens/31740</t>
        </is>
      </c>
    </row>
    <row r="523">
      <c r="A523" t="inlineStr">
        <is>
          <t>32537</t>
        </is>
      </c>
      <c r="B523" t="inlineStr">
        <is>
          <t>APARTMENT</t>
        </is>
      </c>
      <c r="C523" t="inlineStr">
        <is>
          <t>Oulfa</t>
        </is>
      </c>
      <c r="D523" t="inlineStr">
        <is>
          <t>Casablanca</t>
        </is>
      </c>
      <c r="E523" s="7" t="n">
        <v>500000</v>
      </c>
      <c r="F523" s="8" t="n">
        <v>52</v>
      </c>
      <c r="G523" s="8" t="n"/>
      <c r="H523" s="8" t="n"/>
      <c r="I523" s="9">
        <f>IFERROR(E523/F523,"")</f>
        <v/>
      </c>
      <c r="J523" t="n">
        <v>2</v>
      </c>
      <c r="K523" t="n">
        <v>1</v>
      </c>
      <c r="P523" t="inlineStr">
        <is>
          <t>LISTED</t>
        </is>
      </c>
      <c r="S523" t="n">
        <v>33.5551752108797</v>
      </c>
      <c r="T523" t="n">
        <v>-7.671593629061625</v>
      </c>
      <c r="U523" s="7" t="n">
        <v>2876</v>
      </c>
      <c r="V523" t="inlineStr"/>
      <c r="W523" s="10" t="inlineStr">
        <is>
          <t>https://yakeey.com/fr-ma/achat/biens/32537</t>
        </is>
      </c>
    </row>
    <row r="524">
      <c r="A524" s="2" t="inlineStr">
        <is>
          <t>32575</t>
        </is>
      </c>
      <c r="B524" s="2" t="inlineStr">
        <is>
          <t>APARTMENT</t>
        </is>
      </c>
      <c r="C524" s="2" t="inlineStr">
        <is>
          <t>Lusitania</t>
        </is>
      </c>
      <c r="D524" s="2" t="inlineStr">
        <is>
          <t>Casablanca</t>
        </is>
      </c>
      <c r="E524" s="3" t="n">
        <v>1500000</v>
      </c>
      <c r="F524" s="4" t="n">
        <v>125</v>
      </c>
      <c r="G524" s="4" t="n"/>
      <c r="H524" s="4" t="n"/>
      <c r="I524" s="5">
        <f>IFERROR(E524/F524,"")</f>
        <v/>
      </c>
      <c r="J524" s="2" t="n">
        <v>3</v>
      </c>
      <c r="K524" s="2" t="n">
        <v>2</v>
      </c>
      <c r="L524" s="2" t="n"/>
      <c r="M524" s="2" t="n"/>
      <c r="N524" s="2" t="n"/>
      <c r="O524" s="2" t="n"/>
      <c r="P524" s="2" t="inlineStr">
        <is>
          <t>LISTED</t>
        </is>
      </c>
      <c r="Q524" s="2" t="n"/>
      <c r="R524" s="2" t="n"/>
      <c r="S524" s="2" t="n">
        <v>33.59361231719558</v>
      </c>
      <c r="T524" s="2" t="n">
        <v>-7.62356821336032</v>
      </c>
      <c r="U524" s="3" t="n">
        <v>8629</v>
      </c>
      <c r="V524" s="2" t="inlineStr"/>
      <c r="W524" s="6" t="inlineStr">
        <is>
          <t>https://yakeey.com/fr-ma/achat/biens/32575</t>
        </is>
      </c>
    </row>
    <row r="525">
      <c r="A525" t="inlineStr">
        <is>
          <t>32667</t>
        </is>
      </c>
      <c r="B525" t="inlineStr">
        <is>
          <t>APARTMENT</t>
        </is>
      </c>
      <c r="C525" t="inlineStr">
        <is>
          <t>Racine</t>
        </is>
      </c>
      <c r="D525" t="inlineStr">
        <is>
          <t>Casablanca</t>
        </is>
      </c>
      <c r="E525" s="7" t="n">
        <v>2950000</v>
      </c>
      <c r="F525" s="8" t="n">
        <v>125</v>
      </c>
      <c r="G525" s="8" t="n"/>
      <c r="H525" s="8" t="n"/>
      <c r="I525" s="9">
        <f>IFERROR(E525/F525,"")</f>
        <v/>
      </c>
      <c r="J525" t="n">
        <v>3</v>
      </c>
      <c r="K525" t="n">
        <v>3</v>
      </c>
      <c r="P525" t="inlineStr">
        <is>
          <t>LISTED</t>
        </is>
      </c>
      <c r="S525" t="n">
        <v>33.59061666820719</v>
      </c>
      <c r="T525" t="n">
        <v>-7.641004950949662</v>
      </c>
      <c r="U525" s="7" t="n">
        <v>16971</v>
      </c>
      <c r="V525" t="inlineStr"/>
      <c r="W525" s="10" t="inlineStr">
        <is>
          <t>https://yakeey.com/fr-ma/achat/biens/32667</t>
        </is>
      </c>
    </row>
    <row r="526">
      <c r="A526" s="2" t="inlineStr">
        <is>
          <t>33040</t>
        </is>
      </c>
      <c r="B526" s="2" t="inlineStr">
        <is>
          <t>APARTMENT</t>
        </is>
      </c>
      <c r="C526" s="2" t="inlineStr">
        <is>
          <t>Maarif Extension</t>
        </is>
      </c>
      <c r="D526" s="2" t="inlineStr">
        <is>
          <t>Casablanca</t>
        </is>
      </c>
      <c r="E526" s="3" t="n">
        <v>3750000</v>
      </c>
      <c r="F526" s="4" t="n">
        <v>302</v>
      </c>
      <c r="G526" s="4" t="n"/>
      <c r="H526" s="4" t="n"/>
      <c r="I526" s="5">
        <f>IFERROR(E526/F526,"")</f>
        <v/>
      </c>
      <c r="J526" s="2" t="n">
        <v>4</v>
      </c>
      <c r="K526" s="2" t="n">
        <v>4</v>
      </c>
      <c r="L526" s="2" t="n"/>
      <c r="M526" s="2" t="n"/>
      <c r="N526" s="2" t="n"/>
      <c r="O526" s="2" t="n"/>
      <c r="P526" s="2" t="inlineStr">
        <is>
          <t>LISTED</t>
        </is>
      </c>
      <c r="Q526" s="2" t="n"/>
      <c r="R526" s="2" t="n"/>
      <c r="S526" s="2" t="n">
        <v>33.5843252466339</v>
      </c>
      <c r="T526" s="2" t="n">
        <v>-7.646309821680259</v>
      </c>
      <c r="U526" s="3" t="n">
        <v>21573</v>
      </c>
      <c r="V526" s="2" t="inlineStr"/>
      <c r="W526" s="6" t="inlineStr">
        <is>
          <t>https://yakeey.com/fr-ma/achat/biens/33040</t>
        </is>
      </c>
    </row>
    <row r="527">
      <c r="A527" t="inlineStr">
        <is>
          <t>33614</t>
        </is>
      </c>
      <c r="B527" t="inlineStr">
        <is>
          <t>APARTMENT</t>
        </is>
      </c>
      <c r="C527" t="inlineStr">
        <is>
          <t>Liberte</t>
        </is>
      </c>
      <c r="D527" t="inlineStr">
        <is>
          <t>Casablanca</t>
        </is>
      </c>
      <c r="E527" s="7" t="n">
        <v>1100000</v>
      </c>
      <c r="F527" s="8" t="n">
        <v>89</v>
      </c>
      <c r="G527" s="8" t="n"/>
      <c r="H527" s="8" t="n"/>
      <c r="I527" s="9">
        <f>IFERROR(E527/F527,"")</f>
        <v/>
      </c>
      <c r="J527" t="n">
        <v>2</v>
      </c>
      <c r="K527" t="n">
        <v>2</v>
      </c>
      <c r="P527" t="inlineStr">
        <is>
          <t>LISTED</t>
        </is>
      </c>
      <c r="S527" t="n">
        <v>33.58606915620411</v>
      </c>
      <c r="T527" t="n">
        <v>-7.612453507444091</v>
      </c>
      <c r="U527" s="7" t="n">
        <v>6328</v>
      </c>
      <c r="V527" t="inlineStr"/>
      <c r="W527" s="10" t="inlineStr">
        <is>
          <t>https://yakeey.com/fr-ma/achat/biens/33614</t>
        </is>
      </c>
    </row>
    <row r="528">
      <c r="A528" s="2" t="inlineStr">
        <is>
          <t>33650</t>
        </is>
      </c>
      <c r="B528" s="2" t="inlineStr">
        <is>
          <t>APARTMENT</t>
        </is>
      </c>
      <c r="C528" s="2" t="inlineStr">
        <is>
          <t>Roches Noires</t>
        </is>
      </c>
      <c r="D528" s="2" t="inlineStr">
        <is>
          <t>Casablanca</t>
        </is>
      </c>
      <c r="E528" s="3" t="n">
        <v>1150000</v>
      </c>
      <c r="F528" s="4" t="n">
        <v>129</v>
      </c>
      <c r="G528" s="4" t="n"/>
      <c r="H528" s="4" t="n"/>
      <c r="I528" s="5">
        <f>IFERROR(E528/F528,"")</f>
        <v/>
      </c>
      <c r="J528" s="2" t="n">
        <v>3</v>
      </c>
      <c r="K528" s="2" t="n">
        <v>2</v>
      </c>
      <c r="L528" s="2" t="n"/>
      <c r="M528" s="2" t="n"/>
      <c r="N528" s="2" t="n"/>
      <c r="O528" s="2" t="n"/>
      <c r="P528" s="2" t="inlineStr">
        <is>
          <t>LISTED</t>
        </is>
      </c>
      <c r="Q528" s="2" t="n"/>
      <c r="R528" s="2" t="n"/>
      <c r="S528" s="2" t="n">
        <v>33.59793135399666</v>
      </c>
      <c r="T528" s="2" t="n">
        <v>-7.582857888289322</v>
      </c>
      <c r="U528" s="3" t="n">
        <v>6616</v>
      </c>
      <c r="V528" s="2" t="inlineStr"/>
      <c r="W528" s="6" t="inlineStr">
        <is>
          <t>https://yakeey.com/fr-ma/achat/biens/33650</t>
        </is>
      </c>
    </row>
    <row r="529">
      <c r="A529" t="inlineStr">
        <is>
          <t>33878</t>
        </is>
      </c>
      <c r="B529" t="inlineStr">
        <is>
          <t>APARTMENT</t>
        </is>
      </c>
      <c r="C529" t="inlineStr">
        <is>
          <t>Bourgogne (Sidi Belyout)</t>
        </is>
      </c>
      <c r="D529" t="inlineStr">
        <is>
          <t>Casablanca</t>
        </is>
      </c>
      <c r="E529" s="7" t="n">
        <v>2500000</v>
      </c>
      <c r="F529" s="8" t="n">
        <v>214</v>
      </c>
      <c r="G529" s="8" t="n"/>
      <c r="H529" s="8" t="n"/>
      <c r="I529" s="9">
        <f>IFERROR(E529/F529,"")</f>
        <v/>
      </c>
      <c r="J529" t="n">
        <v>3</v>
      </c>
      <c r="K529" t="n">
        <v>2</v>
      </c>
      <c r="P529" t="inlineStr">
        <is>
          <t>LISTED</t>
        </is>
      </c>
      <c r="S529" t="n">
        <v>33.59735073857925</v>
      </c>
      <c r="T529" t="n">
        <v>-7.636768262330843</v>
      </c>
      <c r="U529" s="7" t="n">
        <v>14382</v>
      </c>
      <c r="V529" t="inlineStr"/>
      <c r="W529" s="10" t="inlineStr">
        <is>
          <t>https://yakeey.com/fr-ma/achat/biens/33878</t>
        </is>
      </c>
    </row>
    <row r="530">
      <c r="A530" s="2" t="inlineStr">
        <is>
          <t>34301</t>
        </is>
      </c>
      <c r="B530" s="2" t="inlineStr">
        <is>
          <t>APARTMENT</t>
        </is>
      </c>
      <c r="C530" s="2" t="inlineStr">
        <is>
          <t>Azhar Oulfa 2</t>
        </is>
      </c>
      <c r="D530" s="2" t="inlineStr">
        <is>
          <t>Casablanca</t>
        </is>
      </c>
      <c r="E530" s="3" t="n">
        <v>600000</v>
      </c>
      <c r="F530" s="4" t="n">
        <v>61</v>
      </c>
      <c r="G530" s="4" t="n"/>
      <c r="H530" s="4" t="n"/>
      <c r="I530" s="5">
        <f>IFERROR(E530/F530,"")</f>
        <v/>
      </c>
      <c r="J530" s="2" t="n">
        <v>2</v>
      </c>
      <c r="K530" s="2" t="n">
        <v>1</v>
      </c>
      <c r="L530" s="2" t="n"/>
      <c r="M530" s="2" t="n"/>
      <c r="N530" s="2" t="n"/>
      <c r="O530" s="2" t="n"/>
      <c r="P530" s="2" t="inlineStr">
        <is>
          <t>LISTED</t>
        </is>
      </c>
      <c r="Q530" s="2" t="n"/>
      <c r="R530" s="2" t="n"/>
      <c r="S530" s="2" t="n">
        <v>33.54907543612591</v>
      </c>
      <c r="T530" s="2" t="n">
        <v>-7.702614934267666</v>
      </c>
      <c r="U530" s="3" t="n">
        <v>3451</v>
      </c>
      <c r="V530" s="2" t="inlineStr"/>
      <c r="W530" s="6" t="inlineStr">
        <is>
          <t>https://yakeey.com/fr-ma/achat/biens/34301</t>
        </is>
      </c>
    </row>
    <row r="531">
      <c r="A531" t="inlineStr">
        <is>
          <t>34542</t>
        </is>
      </c>
      <c r="B531" t="inlineStr">
        <is>
          <t>APARTMENT</t>
        </is>
      </c>
      <c r="C531" t="inlineStr">
        <is>
          <t>Belvedere (Roches Noires)</t>
        </is>
      </c>
      <c r="D531" t="inlineStr">
        <is>
          <t>Casablanca</t>
        </is>
      </c>
      <c r="E531" s="7" t="n">
        <v>900000</v>
      </c>
      <c r="F531" s="8" t="n">
        <v>129</v>
      </c>
      <c r="G531" s="8" t="n"/>
      <c r="H531" s="8" t="n"/>
      <c r="I531" s="9">
        <f>IFERROR(E531/F531,"")</f>
        <v/>
      </c>
      <c r="J531" t="n">
        <v>3</v>
      </c>
      <c r="K531" t="n">
        <v>1</v>
      </c>
      <c r="P531" t="inlineStr">
        <is>
          <t>LISTED</t>
        </is>
      </c>
      <c r="S531" t="n">
        <v>33.59527253238839</v>
      </c>
      <c r="T531" t="n">
        <v>-7.590826827940206</v>
      </c>
      <c r="U531" s="7" t="n">
        <v>5177</v>
      </c>
      <c r="V531" t="inlineStr"/>
      <c r="W531" s="10" t="inlineStr">
        <is>
          <t>https://yakeey.com/fr-ma/achat/biens/34542</t>
        </is>
      </c>
    </row>
    <row r="532">
      <c r="A532" s="2" t="inlineStr">
        <is>
          <t>34634</t>
        </is>
      </c>
      <c r="B532" s="2" t="inlineStr">
        <is>
          <t>APARTMENT</t>
        </is>
      </c>
      <c r="C532" s="2" t="inlineStr">
        <is>
          <t>Lissasfa</t>
        </is>
      </c>
      <c r="D532" s="2" t="inlineStr">
        <is>
          <t>Casablanca</t>
        </is>
      </c>
      <c r="E532" s="3" t="n">
        <v>990000</v>
      </c>
      <c r="F532" s="4" t="n">
        <v>75</v>
      </c>
      <c r="G532" s="4" t="n"/>
      <c r="H532" s="4" t="n"/>
      <c r="I532" s="5">
        <f>IFERROR(E532/F532,"")</f>
        <v/>
      </c>
      <c r="J532" s="2" t="n">
        <v>2</v>
      </c>
      <c r="K532" s="2" t="n">
        <v>1</v>
      </c>
      <c r="L532" s="2" t="n"/>
      <c r="M532" s="2" t="n"/>
      <c r="N532" s="2" t="n"/>
      <c r="O532" s="2" t="n"/>
      <c r="P532" s="2" t="inlineStr">
        <is>
          <t>LISTED</t>
        </is>
      </c>
      <c r="Q532" s="2" t="n"/>
      <c r="R532" s="2" t="n"/>
      <c r="S532" s="2" t="n">
        <v>33.53776786492222</v>
      </c>
      <c r="T532" s="2" t="n">
        <v>-7.673851513276476</v>
      </c>
      <c r="U532" s="3" t="n">
        <v>5695</v>
      </c>
      <c r="V532" s="2" t="inlineStr"/>
      <c r="W532" s="6" t="inlineStr">
        <is>
          <t>https://yakeey.com/fr-ma/achat/biens/34634</t>
        </is>
      </c>
    </row>
    <row r="533">
      <c r="A533" t="inlineStr">
        <is>
          <t>34667</t>
        </is>
      </c>
      <c r="B533" t="inlineStr">
        <is>
          <t>APARTMENT</t>
        </is>
      </c>
      <c r="C533" t="inlineStr">
        <is>
          <t>Les Princesses</t>
        </is>
      </c>
      <c r="D533" t="inlineStr">
        <is>
          <t>Casablanca</t>
        </is>
      </c>
      <c r="E533" s="7" t="n">
        <v>1900000</v>
      </c>
      <c r="F533" s="8" t="n">
        <v>129</v>
      </c>
      <c r="G533" s="8" t="n"/>
      <c r="H533" s="8" t="n"/>
      <c r="I533" s="9">
        <f>IFERROR(E533/F533,"")</f>
        <v/>
      </c>
      <c r="J533" t="n">
        <v>3</v>
      </c>
      <c r="K533" t="n">
        <v>2</v>
      </c>
      <c r="P533" t="inlineStr">
        <is>
          <t>LISTED</t>
        </is>
      </c>
      <c r="S533" t="n">
        <v>33.57550475017366</v>
      </c>
      <c r="T533" t="n">
        <v>-7.646735459013367</v>
      </c>
      <c r="U533" s="7" t="n">
        <v>10930</v>
      </c>
      <c r="V533" t="inlineStr"/>
      <c r="W533" s="10" t="inlineStr">
        <is>
          <t>https://yakeey.com/fr-ma/achat/biens/34667</t>
        </is>
      </c>
    </row>
    <row r="534">
      <c r="A534" s="2" t="inlineStr">
        <is>
          <t>34676</t>
        </is>
      </c>
      <c r="B534" s="2" t="inlineStr">
        <is>
          <t>APARTMENT</t>
        </is>
      </c>
      <c r="C534" s="2" t="inlineStr">
        <is>
          <t>Triangle D'Or</t>
        </is>
      </c>
      <c r="D534" s="2" t="inlineStr">
        <is>
          <t>Casablanca</t>
        </is>
      </c>
      <c r="E534" s="3" t="n">
        <v>2950000</v>
      </c>
      <c r="F534" s="4" t="n">
        <v>175</v>
      </c>
      <c r="G534" s="4" t="n"/>
      <c r="H534" s="4" t="n"/>
      <c r="I534" s="5">
        <f>IFERROR(E534/F534,"")</f>
        <v/>
      </c>
      <c r="J534" s="2" t="n">
        <v>5</v>
      </c>
      <c r="K534" s="2" t="n">
        <v>2</v>
      </c>
      <c r="L534" s="2" t="n"/>
      <c r="M534" s="2" t="n"/>
      <c r="N534" s="2" t="n"/>
      <c r="O534" s="2" t="n"/>
      <c r="P534" s="2" t="inlineStr">
        <is>
          <t>LISTED</t>
        </is>
      </c>
      <c r="Q534" s="2" t="n"/>
      <c r="R534" s="2" t="n"/>
      <c r="S534" s="2" t="n">
        <v>33.58714650950036</v>
      </c>
      <c r="T534" s="2" t="n">
        <v>-7.638434487619501</v>
      </c>
      <c r="U534" s="3" t="n">
        <v>16971</v>
      </c>
      <c r="V534" s="2" t="inlineStr"/>
      <c r="W534" s="6" t="inlineStr">
        <is>
          <t>https://yakeey.com/fr-ma/achat/biens/34676</t>
        </is>
      </c>
    </row>
    <row r="535">
      <c r="A535" t="inlineStr">
        <is>
          <t>34706</t>
        </is>
      </c>
      <c r="B535" t="inlineStr">
        <is>
          <t>APARTMENT</t>
        </is>
      </c>
      <c r="C535" t="inlineStr">
        <is>
          <t>Derb Omar</t>
        </is>
      </c>
      <c r="D535" t="inlineStr">
        <is>
          <t>Casablanca</t>
        </is>
      </c>
      <c r="E535" s="7" t="n">
        <v>1600000</v>
      </c>
      <c r="F535" s="8" t="n">
        <v>125</v>
      </c>
      <c r="G535" s="8" t="n"/>
      <c r="H535" s="8" t="n"/>
      <c r="I535" s="9">
        <f>IFERROR(E535/F535,"")</f>
        <v/>
      </c>
      <c r="J535" t="n">
        <v>5</v>
      </c>
      <c r="K535" t="n">
        <v>2</v>
      </c>
      <c r="P535" t="inlineStr">
        <is>
          <t>LISTED</t>
        </is>
      </c>
      <c r="S535" t="n">
        <v>33.58520385033609</v>
      </c>
      <c r="T535" t="n">
        <v>-7.607466733622982</v>
      </c>
      <c r="U535" s="7" t="n">
        <v>9204</v>
      </c>
      <c r="V535" t="inlineStr"/>
      <c r="W535" s="10" t="inlineStr">
        <is>
          <t>https://yakeey.com/fr-ma/achat/biens/34706</t>
        </is>
      </c>
    </row>
    <row r="536">
      <c r="A536" s="2" t="inlineStr">
        <is>
          <t>34799</t>
        </is>
      </c>
      <c r="B536" s="2" t="inlineStr">
        <is>
          <t>APARTMENT</t>
        </is>
      </c>
      <c r="C536" s="2" t="inlineStr">
        <is>
          <t>Ville Verte</t>
        </is>
      </c>
      <c r="D536" s="2" t="inlineStr">
        <is>
          <t>Bouskoura</t>
        </is>
      </c>
      <c r="E536" s="3" t="n">
        <v>2300000</v>
      </c>
      <c r="F536" s="4" t="n">
        <v>136</v>
      </c>
      <c r="G536" s="4" t="n"/>
      <c r="H536" s="4" t="n"/>
      <c r="I536" s="5">
        <f>IFERROR(E536/F536,"")</f>
        <v/>
      </c>
      <c r="J536" s="2" t="n">
        <v>2</v>
      </c>
      <c r="K536" s="2" t="n">
        <v>2</v>
      </c>
      <c r="L536" s="2" t="n"/>
      <c r="M536" s="2" t="n"/>
      <c r="N536" s="2" t="n"/>
      <c r="O536" s="2" t="n"/>
      <c r="P536" s="2" t="inlineStr">
        <is>
          <t>LISTED</t>
        </is>
      </c>
      <c r="Q536" s="2" t="n"/>
      <c r="R536" s="2" t="n"/>
      <c r="S536" s="2" t="n">
        <v>33.48409664235347</v>
      </c>
      <c r="T536" s="2" t="n">
        <v>-7.595701213425265</v>
      </c>
      <c r="U536" s="3" t="n">
        <v>13232</v>
      </c>
      <c r="V536" s="2" t="inlineStr"/>
      <c r="W536" s="6" t="inlineStr">
        <is>
          <t>https://yakeey.com/fr-ma/achat/biens/34799</t>
        </is>
      </c>
    </row>
    <row r="537">
      <c r="A537" t="inlineStr">
        <is>
          <t>34803</t>
        </is>
      </c>
      <c r="B537" t="inlineStr">
        <is>
          <t>APARTMENT</t>
        </is>
      </c>
      <c r="C537" t="inlineStr">
        <is>
          <t>Liberte</t>
        </is>
      </c>
      <c r="D537" t="inlineStr">
        <is>
          <t>Casablanca</t>
        </is>
      </c>
      <c r="E537" s="7" t="n">
        <v>1150000</v>
      </c>
      <c r="F537" s="8" t="n">
        <v>105</v>
      </c>
      <c r="G537" s="8" t="n"/>
      <c r="H537" s="8" t="n"/>
      <c r="I537" s="9">
        <f>IFERROR(E537/F537,"")</f>
        <v/>
      </c>
      <c r="J537" t="n">
        <v>2</v>
      </c>
      <c r="K537" t="n">
        <v>1</v>
      </c>
      <c r="P537" t="inlineStr">
        <is>
          <t>LISTED</t>
        </is>
      </c>
      <c r="S537" t="n">
        <v>33.58519982577182</v>
      </c>
      <c r="T537" t="n">
        <v>-7.612005578758178</v>
      </c>
      <c r="U537" s="7" t="n">
        <v>6616</v>
      </c>
      <c r="V537" t="inlineStr"/>
      <c r="W537" s="10" t="inlineStr">
        <is>
          <t>https://yakeey.com/fr-ma/achat/biens/34803</t>
        </is>
      </c>
    </row>
    <row r="538">
      <c r="A538" s="2" t="inlineStr">
        <is>
          <t>34945</t>
        </is>
      </c>
      <c r="B538" s="2" t="inlineStr">
        <is>
          <t>APARTMENT</t>
        </is>
      </c>
      <c r="C538" s="2" t="inlineStr">
        <is>
          <t>Les Princesses</t>
        </is>
      </c>
      <c r="D538" s="2" t="inlineStr">
        <is>
          <t>Casablanca</t>
        </is>
      </c>
      <c r="E538" s="3" t="n">
        <v>1769000</v>
      </c>
      <c r="F538" s="4" t="n">
        <v>130</v>
      </c>
      <c r="G538" s="4" t="n"/>
      <c r="H538" s="4" t="n"/>
      <c r="I538" s="5">
        <f>IFERROR(E538/F538,"")</f>
        <v/>
      </c>
      <c r="J538" s="2" t="n">
        <v>3</v>
      </c>
      <c r="K538" s="2" t="n">
        <v>2</v>
      </c>
      <c r="L538" s="2" t="n"/>
      <c r="M538" s="2" t="n"/>
      <c r="N538" s="2" t="n"/>
      <c r="O538" s="2" t="n"/>
      <c r="P538" s="2" t="inlineStr">
        <is>
          <t>LISTED</t>
        </is>
      </c>
      <c r="Q538" s="2" t="n"/>
      <c r="R538" s="2" t="n"/>
      <c r="S538" s="2" t="n">
        <v>33.57742239119578</v>
      </c>
      <c r="T538" s="2" t="n">
        <v>-7.646524628713466</v>
      </c>
      <c r="U538" s="3" t="n">
        <v>10177</v>
      </c>
      <c r="V538" s="2" t="inlineStr"/>
      <c r="W538" s="6" t="inlineStr">
        <is>
          <t>https://yakeey.com/fr-ma/achat/biens/34945</t>
        </is>
      </c>
    </row>
    <row r="539">
      <c r="A539" t="inlineStr">
        <is>
          <t>35179</t>
        </is>
      </c>
      <c r="B539" t="inlineStr">
        <is>
          <t>APARTMENT</t>
        </is>
      </c>
      <c r="C539" t="inlineStr">
        <is>
          <t>Gauthier</t>
        </is>
      </c>
      <c r="D539" t="inlineStr">
        <is>
          <t>Casablanca</t>
        </is>
      </c>
      <c r="E539" s="7" t="n">
        <v>3000000</v>
      </c>
      <c r="F539" s="8" t="n">
        <v>175</v>
      </c>
      <c r="G539" s="8" t="n"/>
      <c r="H539" s="8" t="n"/>
      <c r="I539" s="9">
        <f>IFERROR(E539/F539,"")</f>
        <v/>
      </c>
      <c r="J539" t="n">
        <v>3</v>
      </c>
      <c r="K539" t="n">
        <v>3</v>
      </c>
      <c r="P539" t="inlineStr">
        <is>
          <t>LISTED</t>
        </is>
      </c>
      <c r="S539" t="n">
        <v>33.58932759329427</v>
      </c>
      <c r="T539" t="n">
        <v>-7.628168043917788</v>
      </c>
      <c r="U539" s="7" t="n">
        <v>17259</v>
      </c>
      <c r="V539" t="inlineStr"/>
      <c r="W539" s="10" t="inlineStr">
        <is>
          <t>https://yakeey.com/fr-ma/achat/biens/35179</t>
        </is>
      </c>
    </row>
    <row r="540">
      <c r="A540" s="2" t="inlineStr">
        <is>
          <t>35560</t>
        </is>
      </c>
      <c r="B540" s="2" t="inlineStr">
        <is>
          <t>APARTMENT</t>
        </is>
      </c>
      <c r="C540" s="2" t="inlineStr">
        <is>
          <t>Almaz (Hay Hassani)</t>
        </is>
      </c>
      <c r="D540" s="2" t="inlineStr">
        <is>
          <t>Casablanca</t>
        </is>
      </c>
      <c r="E540" s="3" t="n">
        <v>1550000</v>
      </c>
      <c r="F540" s="4" t="n">
        <v>89</v>
      </c>
      <c r="G540" s="4" t="n"/>
      <c r="H540" s="4" t="n"/>
      <c r="I540" s="5">
        <f>IFERROR(E540/F540,"")</f>
        <v/>
      </c>
      <c r="J540" s="2" t="n">
        <v>2</v>
      </c>
      <c r="K540" s="2" t="n">
        <v>2</v>
      </c>
      <c r="L540" s="2" t="n"/>
      <c r="M540" s="2" t="n"/>
      <c r="N540" s="2" t="n"/>
      <c r="O540" s="2" t="n"/>
      <c r="P540" s="2" t="inlineStr">
        <is>
          <t>LISTED</t>
        </is>
      </c>
      <c r="Q540" s="2" t="n"/>
      <c r="R540" s="2" t="n"/>
      <c r="S540" s="2" t="n">
        <v>33.50855295234376</v>
      </c>
      <c r="T540" s="2" t="n">
        <v>-7.673482900514209</v>
      </c>
      <c r="U540" s="3" t="n">
        <v>8917</v>
      </c>
      <c r="V540" s="2" t="inlineStr"/>
      <c r="W540" s="6" t="inlineStr">
        <is>
          <t>https://yakeey.com/fr-ma/achat/biens/35560</t>
        </is>
      </c>
    </row>
    <row r="541">
      <c r="A541" t="inlineStr">
        <is>
          <t>3627</t>
        </is>
      </c>
      <c r="B541" t="inlineStr">
        <is>
          <t>APARTMENT</t>
        </is>
      </c>
      <c r="C541" t="inlineStr">
        <is>
          <t>Plateau</t>
        </is>
      </c>
      <c r="D541" t="inlineStr">
        <is>
          <t>Casablanca</t>
        </is>
      </c>
      <c r="E541" s="7" t="n">
        <v>1400000</v>
      </c>
      <c r="F541" s="8" t="n">
        <v>123</v>
      </c>
      <c r="G541" s="8" t="n"/>
      <c r="H541" s="8" t="n"/>
      <c r="I541" s="9">
        <f>IFERROR(E541/F541,"")</f>
        <v/>
      </c>
      <c r="J541" t="n">
        <v>4</v>
      </c>
      <c r="K541" t="n">
        <v>2</v>
      </c>
      <c r="P541" t="inlineStr">
        <is>
          <t>LISTED</t>
        </is>
      </c>
      <c r="S541" t="n">
        <v>33.56861419175203</v>
      </c>
      <c r="T541" t="n">
        <v>-7.626557311792361</v>
      </c>
      <c r="U541" s="7" t="n">
        <v>8054</v>
      </c>
      <c r="V541" t="inlineStr"/>
      <c r="W541" s="10" t="inlineStr">
        <is>
          <t>https://yakeey.com/fr-ma/achat/biens/3627</t>
        </is>
      </c>
    </row>
    <row r="542">
      <c r="A542" s="2" t="inlineStr">
        <is>
          <t>3628</t>
        </is>
      </c>
      <c r="B542" s="2" t="inlineStr">
        <is>
          <t>APARTMENT</t>
        </is>
      </c>
      <c r="C542" s="2" t="inlineStr">
        <is>
          <t>Les Princesses</t>
        </is>
      </c>
      <c r="D542" s="2" t="inlineStr">
        <is>
          <t>Casablanca</t>
        </is>
      </c>
      <c r="E542" s="3" t="n">
        <v>1150000</v>
      </c>
      <c r="F542" s="4" t="n">
        <v>92</v>
      </c>
      <c r="G542" s="4" t="n"/>
      <c r="H542" s="4" t="n"/>
      <c r="I542" s="5">
        <f>IFERROR(E542/F542,"")</f>
        <v/>
      </c>
      <c r="J542" s="2" t="n">
        <v>4</v>
      </c>
      <c r="K542" s="2" t="n">
        <v>1</v>
      </c>
      <c r="L542" s="2" t="n"/>
      <c r="M542" s="2" t="n"/>
      <c r="N542" s="2" t="n"/>
      <c r="O542" s="2" t="n"/>
      <c r="P542" s="2" t="inlineStr">
        <is>
          <t>LISTED</t>
        </is>
      </c>
      <c r="Q542" s="2" t="n"/>
      <c r="R542" s="2" t="n"/>
      <c r="S542" s="2" t="n">
        <v>33.57412478227394</v>
      </c>
      <c r="T542" s="2" t="n">
        <v>-7.648926884596938</v>
      </c>
      <c r="U542" s="3" t="n">
        <v>6616</v>
      </c>
      <c r="V542" s="2" t="inlineStr"/>
      <c r="W542" s="6" t="inlineStr">
        <is>
          <t>https://yakeey.com/fr-ma/achat/biens/3628</t>
        </is>
      </c>
    </row>
    <row r="543">
      <c r="A543" t="inlineStr">
        <is>
          <t>3696</t>
        </is>
      </c>
      <c r="B543" t="inlineStr">
        <is>
          <t>APARTMENT</t>
        </is>
      </c>
      <c r="C543" t="inlineStr">
        <is>
          <t>Sidi Bernoussi</t>
        </is>
      </c>
      <c r="D543" t="inlineStr">
        <is>
          <t>Casablanca</t>
        </is>
      </c>
      <c r="E543" s="7" t="n">
        <v>1160000</v>
      </c>
      <c r="F543" s="8" t="n">
        <v>104</v>
      </c>
      <c r="G543" s="8" t="n"/>
      <c r="H543" s="8" t="n"/>
      <c r="I543" s="9">
        <f>IFERROR(E543/F543,"")</f>
        <v/>
      </c>
      <c r="J543" t="n">
        <v>4</v>
      </c>
      <c r="K543" t="n">
        <v>2</v>
      </c>
      <c r="P543" t="inlineStr">
        <is>
          <t>LISTED</t>
        </is>
      </c>
      <c r="S543" t="n">
        <v>33.60661490703119</v>
      </c>
      <c r="T543" t="n">
        <v>-7.507565347029014</v>
      </c>
      <c r="U543" s="7" t="n">
        <v>6673</v>
      </c>
      <c r="V543" t="inlineStr"/>
      <c r="W543" s="10" t="inlineStr">
        <is>
          <t>https://yakeey.com/fr-ma/achat/biens/3696</t>
        </is>
      </c>
    </row>
    <row r="544">
      <c r="A544" s="2" t="inlineStr">
        <is>
          <t>37069</t>
        </is>
      </c>
      <c r="B544" s="2" t="inlineStr">
        <is>
          <t>APARTMENT</t>
        </is>
      </c>
      <c r="C544" s="2" t="inlineStr">
        <is>
          <t>Racine</t>
        </is>
      </c>
      <c r="D544" s="2" t="inlineStr">
        <is>
          <t>Casablanca</t>
        </is>
      </c>
      <c r="E544" s="3" t="n">
        <v>1850000</v>
      </c>
      <c r="F544" s="4" t="n">
        <v>139</v>
      </c>
      <c r="G544" s="4" t="n"/>
      <c r="H544" s="4" t="n"/>
      <c r="I544" s="5">
        <f>IFERROR(E544/F544,"")</f>
        <v/>
      </c>
      <c r="J544" s="2" t="n">
        <v>3</v>
      </c>
      <c r="K544" s="2" t="n"/>
      <c r="L544" s="2" t="n"/>
      <c r="M544" s="2" t="n"/>
      <c r="N544" s="2" t="n"/>
      <c r="O544" s="2" t="n"/>
      <c r="P544" s="2" t="inlineStr">
        <is>
          <t>LISTED</t>
        </is>
      </c>
      <c r="Q544" s="2" t="n"/>
      <c r="R544" s="2" t="n"/>
      <c r="S544" s="2" t="n">
        <v>33.59535463171363</v>
      </c>
      <c r="T544" s="2" t="n">
        <v>-7.652495053288505</v>
      </c>
      <c r="U544" s="3" t="n">
        <v>10643</v>
      </c>
      <c r="V544" s="2" t="inlineStr"/>
      <c r="W544" s="6" t="inlineStr">
        <is>
          <t>https://yakeey.com/fr-ma/achat/biens/37069</t>
        </is>
      </c>
    </row>
    <row r="545">
      <c r="A545" t="inlineStr">
        <is>
          <t>37321</t>
        </is>
      </c>
      <c r="B545" t="inlineStr">
        <is>
          <t>APARTMENT</t>
        </is>
      </c>
      <c r="C545" t="inlineStr">
        <is>
          <t>La Gironde</t>
        </is>
      </c>
      <c r="D545" t="inlineStr">
        <is>
          <t>Casablanca</t>
        </is>
      </c>
      <c r="E545" s="7" t="n">
        <v>1600000</v>
      </c>
      <c r="F545" s="8" t="n">
        <v>133</v>
      </c>
      <c r="G545" s="8" t="n"/>
      <c r="H545" s="8" t="n"/>
      <c r="I545" s="9">
        <f>IFERROR(E545/F545,"")</f>
        <v/>
      </c>
      <c r="J545" t="n">
        <v>3</v>
      </c>
      <c r="K545" t="n">
        <v>2</v>
      </c>
      <c r="P545" t="inlineStr">
        <is>
          <t>LISTED</t>
        </is>
      </c>
      <c r="S545" t="n">
        <v>33.58623797327864</v>
      </c>
      <c r="T545" t="n">
        <v>-7.603449342356317</v>
      </c>
      <c r="U545" s="7" t="n">
        <v>9204</v>
      </c>
      <c r="V545" t="inlineStr"/>
      <c r="W545" s="10" t="inlineStr">
        <is>
          <t>https://yakeey.com/fr-ma/achat/biens/37321</t>
        </is>
      </c>
    </row>
    <row r="546">
      <c r="A546" s="2" t="inlineStr">
        <is>
          <t>37746</t>
        </is>
      </c>
      <c r="B546" s="2" t="inlineStr">
        <is>
          <t>APARTMENT</t>
        </is>
      </c>
      <c r="C546" s="2" t="inlineStr">
        <is>
          <t>Bourgogne (Sidi Belyout)</t>
        </is>
      </c>
      <c r="D546" s="2" t="inlineStr">
        <is>
          <t>Casablanca</t>
        </is>
      </c>
      <c r="E546" s="3" t="n">
        <v>2600000</v>
      </c>
      <c r="F546" s="4" t="n">
        <v>125</v>
      </c>
      <c r="G546" s="4" t="n"/>
      <c r="H546" s="4" t="n"/>
      <c r="I546" s="5">
        <f>IFERROR(E546/F546,"")</f>
        <v/>
      </c>
      <c r="J546" s="2" t="n">
        <v>2</v>
      </c>
      <c r="K546" s="2" t="n">
        <v>2</v>
      </c>
      <c r="L546" s="2" t="n"/>
      <c r="M546" s="2" t="n"/>
      <c r="N546" s="2" t="n"/>
      <c r="O546" s="2" t="n"/>
      <c r="P546" s="2" t="inlineStr">
        <is>
          <t>LISTED</t>
        </is>
      </c>
      <c r="Q546" s="2" t="n"/>
      <c r="R546" s="2" t="n"/>
      <c r="S546" s="2" t="n">
        <v>33.59184762354984</v>
      </c>
      <c r="T546" s="2" t="n">
        <v>-7.636149816550638</v>
      </c>
      <c r="U546" s="3" t="n">
        <v>14957</v>
      </c>
      <c r="V546" s="2" t="inlineStr"/>
      <c r="W546" s="6" t="inlineStr">
        <is>
          <t>https://yakeey.com/fr-ma/achat/biens/37746</t>
        </is>
      </c>
    </row>
    <row r="547">
      <c r="A547" t="inlineStr">
        <is>
          <t>37917</t>
        </is>
      </c>
      <c r="B547" t="inlineStr">
        <is>
          <t>APARTMENT</t>
        </is>
      </c>
      <c r="C547" t="inlineStr">
        <is>
          <t>Beausejour</t>
        </is>
      </c>
      <c r="D547" t="inlineStr">
        <is>
          <t>Casablanca</t>
        </is>
      </c>
      <c r="E547" s="7" t="n">
        <v>3500000</v>
      </c>
      <c r="F547" s="8" t="n">
        <v>234</v>
      </c>
      <c r="G547" s="8" t="n"/>
      <c r="H547" s="8" t="n"/>
      <c r="I547" s="9">
        <f>IFERROR(E547/F547,"")</f>
        <v/>
      </c>
      <c r="J547" t="n">
        <v>3</v>
      </c>
      <c r="K547" t="n">
        <v>1</v>
      </c>
      <c r="P547" t="inlineStr">
        <is>
          <t>LISTED</t>
        </is>
      </c>
      <c r="S547" t="n">
        <v>33.56687735331814</v>
      </c>
      <c r="T547" t="n">
        <v>-7.654728128284635</v>
      </c>
      <c r="U547" s="7" t="n">
        <v>20135</v>
      </c>
      <c r="V547" t="inlineStr"/>
      <c r="W547" s="10" t="inlineStr">
        <is>
          <t>https://yakeey.com/fr-ma/achat/biens/37917</t>
        </is>
      </c>
    </row>
    <row r="548">
      <c r="A548" s="2" t="inlineStr">
        <is>
          <t>38282</t>
        </is>
      </c>
      <c r="B548" s="2" t="inlineStr">
        <is>
          <t>APARTMENT</t>
        </is>
      </c>
      <c r="C548" s="2" t="inlineStr">
        <is>
          <t>Hopitaux</t>
        </is>
      </c>
      <c r="D548" s="2" t="inlineStr">
        <is>
          <t>Casablanca</t>
        </is>
      </c>
      <c r="E548" s="3" t="n">
        <v>2000000</v>
      </c>
      <c r="F548" s="4" t="n">
        <v>128</v>
      </c>
      <c r="G548" s="4" t="n"/>
      <c r="H548" s="4" t="n"/>
      <c r="I548" s="5">
        <f>IFERROR(E548/F548,"")</f>
        <v/>
      </c>
      <c r="J548" s="2" t="n">
        <v>2</v>
      </c>
      <c r="K548" s="2" t="n">
        <v>2</v>
      </c>
      <c r="L548" s="2" t="n"/>
      <c r="M548" s="2" t="n"/>
      <c r="N548" s="2" t="n"/>
      <c r="O548" s="2" t="n"/>
      <c r="P548" s="2" t="inlineStr">
        <is>
          <t>LISTED</t>
        </is>
      </c>
      <c r="Q548" s="2" t="n"/>
      <c r="R548" s="2" t="n"/>
      <c r="S548" s="2" t="n">
        <v>33.57602273259167</v>
      </c>
      <c r="T548" s="2" t="n">
        <v>-7.618069087415793</v>
      </c>
      <c r="U548" s="3" t="n">
        <v>11506</v>
      </c>
      <c r="V548" s="2" t="inlineStr"/>
      <c r="W548" s="6" t="inlineStr">
        <is>
          <t>https://yakeey.com/fr-ma/achat/biens/38282</t>
        </is>
      </c>
    </row>
    <row r="549">
      <c r="A549" t="inlineStr">
        <is>
          <t>38796</t>
        </is>
      </c>
      <c r="B549" t="inlineStr">
        <is>
          <t>APARTMENT</t>
        </is>
      </c>
      <c r="C549" t="inlineStr">
        <is>
          <t>Ibn Tachfine</t>
        </is>
      </c>
      <c r="D549" t="inlineStr">
        <is>
          <t>Casablanca</t>
        </is>
      </c>
      <c r="E549" s="7" t="n">
        <v>1123000</v>
      </c>
      <c r="F549" s="8" t="n">
        <v>81</v>
      </c>
      <c r="G549" s="8" t="n"/>
      <c r="H549" s="8" t="n"/>
      <c r="I549" s="9">
        <f>IFERROR(E549/F549,"")</f>
        <v/>
      </c>
      <c r="J549" t="n">
        <v>2</v>
      </c>
      <c r="K549" t="n">
        <v>2</v>
      </c>
      <c r="P549" t="inlineStr">
        <is>
          <t>LISTED</t>
        </is>
      </c>
      <c r="S549" t="n">
        <v>33.58471990351001</v>
      </c>
      <c r="T549" t="n">
        <v>-7.594335495986523</v>
      </c>
      <c r="U549" s="7" t="n">
        <v>6460</v>
      </c>
      <c r="V549" t="inlineStr"/>
      <c r="W549" s="10" t="inlineStr">
        <is>
          <t>https://yakeey.com/fr-ma/achat/biens/38796</t>
        </is>
      </c>
    </row>
    <row r="550">
      <c r="A550" s="2" t="inlineStr">
        <is>
          <t>3904</t>
        </is>
      </c>
      <c r="B550" s="2" t="inlineStr">
        <is>
          <t>APARTMENT</t>
        </is>
      </c>
      <c r="C550" s="2" t="inlineStr">
        <is>
          <t>Lekrimat</t>
        </is>
      </c>
      <c r="D550" s="2" t="inlineStr">
        <is>
          <t>Casablanca</t>
        </is>
      </c>
      <c r="E550" s="3" t="n">
        <v>1710000</v>
      </c>
      <c r="F550" s="4" t="n">
        <v>114</v>
      </c>
      <c r="G550" s="4" t="n"/>
      <c r="H550" s="4" t="n"/>
      <c r="I550" s="5">
        <f>IFERROR(E550/F550,"")</f>
        <v/>
      </c>
      <c r="J550" s="2" t="n">
        <v>2</v>
      </c>
      <c r="K550" s="2" t="n">
        <v>1</v>
      </c>
      <c r="L550" s="2" t="n"/>
      <c r="M550" s="2" t="n"/>
      <c r="N550" s="2" t="n"/>
      <c r="O550" s="2" t="n"/>
      <c r="P550" s="2" t="inlineStr">
        <is>
          <t>LISTED</t>
        </is>
      </c>
      <c r="Q550" s="2" t="n"/>
      <c r="R550" s="2" t="n"/>
      <c r="S550" s="2" t="n">
        <v>33.54371033090627</v>
      </c>
      <c r="T550" s="2" t="n">
        <v>-7.614237906569408</v>
      </c>
      <c r="U550" s="3" t="n">
        <v>9837</v>
      </c>
      <c r="V550" s="2" t="inlineStr"/>
      <c r="W550" s="6" t="inlineStr">
        <is>
          <t>https://yakeey.com/fr-ma/achat/biens/3904</t>
        </is>
      </c>
    </row>
    <row r="551">
      <c r="A551" t="inlineStr">
        <is>
          <t>39281</t>
        </is>
      </c>
      <c r="B551" t="inlineStr">
        <is>
          <t>APARTMENT</t>
        </is>
      </c>
      <c r="C551" t="inlineStr">
        <is>
          <t>Victoria</t>
        </is>
      </c>
      <c r="D551" t="inlineStr">
        <is>
          <t>Bouskoura</t>
        </is>
      </c>
      <c r="E551" s="7" t="n">
        <v>1000000</v>
      </c>
      <c r="F551" s="8" t="n">
        <v>127</v>
      </c>
      <c r="G551" s="8" t="n"/>
      <c r="H551" s="8" t="n"/>
      <c r="I551" s="9">
        <f>IFERROR(E551/F551,"")</f>
        <v/>
      </c>
      <c r="J551" t="n">
        <v>3</v>
      </c>
      <c r="K551" t="n">
        <v>2</v>
      </c>
      <c r="P551" t="inlineStr">
        <is>
          <t>LISTED</t>
        </is>
      </c>
      <c r="S551" t="n">
        <v>33.41616491379727</v>
      </c>
      <c r="T551" t="n">
        <v>-7.665576760654229</v>
      </c>
      <c r="U551" s="7" t="n">
        <v>5753</v>
      </c>
      <c r="V551" t="inlineStr"/>
      <c r="W551" s="10" t="inlineStr">
        <is>
          <t>https://yakeey.com/fr-ma/achat/biens/39281</t>
        </is>
      </c>
    </row>
    <row r="552">
      <c r="A552" s="2" t="inlineStr">
        <is>
          <t>40378</t>
        </is>
      </c>
      <c r="B552" s="2" t="inlineStr">
        <is>
          <t>APARTMENT</t>
        </is>
      </c>
      <c r="C552" s="2" t="inlineStr">
        <is>
          <t>Triangle D'Or</t>
        </is>
      </c>
      <c r="D552" s="2" t="inlineStr">
        <is>
          <t>Casablanca</t>
        </is>
      </c>
      <c r="E552" s="3" t="n">
        <v>2800000</v>
      </c>
      <c r="F552" s="4" t="n">
        <v>161</v>
      </c>
      <c r="G552" s="4" t="n"/>
      <c r="H552" s="4" t="n"/>
      <c r="I552" s="5">
        <f>IFERROR(E552/F552,"")</f>
        <v/>
      </c>
      <c r="J552" s="2" t="n">
        <v>3</v>
      </c>
      <c r="K552" s="2" t="n">
        <v>2</v>
      </c>
      <c r="L552" s="2" t="n"/>
      <c r="M552" s="2" t="n"/>
      <c r="N552" s="2" t="n"/>
      <c r="O552" s="2" t="n"/>
      <c r="P552" s="2" t="inlineStr">
        <is>
          <t>LISTED</t>
        </is>
      </c>
      <c r="Q552" s="2" t="n"/>
      <c r="R552" s="2" t="n"/>
      <c r="S552" s="2" t="n">
        <v>33.58995689836144</v>
      </c>
      <c r="T552" s="2" t="n">
        <v>-7.635943259714923</v>
      </c>
      <c r="U552" s="3" t="n">
        <v>16108</v>
      </c>
      <c r="V552" s="2" t="inlineStr"/>
      <c r="W552" s="6" t="inlineStr">
        <is>
          <t>https://yakeey.com/fr-ma/achat/biens/40378</t>
        </is>
      </c>
    </row>
    <row r="553">
      <c r="A553" t="inlineStr">
        <is>
          <t>40414</t>
        </is>
      </c>
      <c r="B553" t="inlineStr">
        <is>
          <t>APARTMENT</t>
        </is>
      </c>
      <c r="C553" t="inlineStr">
        <is>
          <t>La Gironde</t>
        </is>
      </c>
      <c r="D553" t="inlineStr">
        <is>
          <t>Casablanca</t>
        </is>
      </c>
      <c r="E553" s="7" t="n">
        <v>1000000</v>
      </c>
      <c r="F553" s="8" t="n">
        <v>119</v>
      </c>
      <c r="G553" s="8" t="n"/>
      <c r="H553" s="8" t="n"/>
      <c r="I553" s="9">
        <f>IFERROR(E553/F553,"")</f>
        <v/>
      </c>
      <c r="J553" t="n">
        <v>3</v>
      </c>
      <c r="K553" t="n">
        <v>1</v>
      </c>
      <c r="P553" t="inlineStr">
        <is>
          <t>LISTED</t>
        </is>
      </c>
      <c r="S553" t="n">
        <v>33.58621237838661</v>
      </c>
      <c r="T553" t="n">
        <v>-7.60329513555846</v>
      </c>
      <c r="U553" s="7" t="n">
        <v>5753</v>
      </c>
      <c r="V553" t="inlineStr"/>
      <c r="W553" s="10" t="inlineStr">
        <is>
          <t>https://yakeey.com/fr-ma/achat/biens/40414</t>
        </is>
      </c>
    </row>
    <row r="554">
      <c r="A554" s="2" t="inlineStr">
        <is>
          <t>40487</t>
        </is>
      </c>
      <c r="B554" s="2" t="inlineStr">
        <is>
          <t>APARTMENT</t>
        </is>
      </c>
      <c r="C554" s="2" t="inlineStr">
        <is>
          <t>Victoria</t>
        </is>
      </c>
      <c r="D554" s="2" t="inlineStr">
        <is>
          <t>Bouskoura</t>
        </is>
      </c>
      <c r="E554" s="3" t="n">
        <v>1540000</v>
      </c>
      <c r="F554" s="4" t="n">
        <v>150</v>
      </c>
      <c r="G554" s="4" t="n"/>
      <c r="H554" s="4" t="n"/>
      <c r="I554" s="5">
        <f>IFERROR(E554/F554,"")</f>
        <v/>
      </c>
      <c r="J554" s="2" t="n">
        <v>3</v>
      </c>
      <c r="K554" s="2" t="n">
        <v>2</v>
      </c>
      <c r="L554" s="2" t="n"/>
      <c r="M554" s="2" t="n"/>
      <c r="N554" s="2" t="n"/>
      <c r="O554" s="2" t="n"/>
      <c r="P554" s="2" t="inlineStr">
        <is>
          <t>LISTED</t>
        </is>
      </c>
      <c r="Q554" s="2" t="n"/>
      <c r="R554" s="2" t="n"/>
      <c r="S554" s="2" t="n">
        <v>33.42493628422493</v>
      </c>
      <c r="T554" s="2" t="n">
        <v>-7.678329565571879</v>
      </c>
      <c r="U554" s="3" t="n">
        <v>8859</v>
      </c>
      <c r="V554" s="2" t="inlineStr"/>
      <c r="W554" s="6" t="inlineStr">
        <is>
          <t>https://yakeey.com/fr-ma/achat/biens/40487</t>
        </is>
      </c>
    </row>
    <row r="555">
      <c r="A555" t="inlineStr">
        <is>
          <t>40665</t>
        </is>
      </c>
      <c r="B555" t="inlineStr">
        <is>
          <t>APARTMENT</t>
        </is>
      </c>
      <c r="C555" t="inlineStr">
        <is>
          <t>Lekrimat</t>
        </is>
      </c>
      <c r="D555" t="inlineStr">
        <is>
          <t>Casablanca</t>
        </is>
      </c>
      <c r="E555" s="7" t="n">
        <v>1350000</v>
      </c>
      <c r="F555" s="8" t="n">
        <v>88</v>
      </c>
      <c r="G555" s="8" t="n"/>
      <c r="H555" s="8" t="n"/>
      <c r="I555" s="9">
        <f>IFERROR(E555/F555,"")</f>
        <v/>
      </c>
      <c r="J555" t="n">
        <v>2</v>
      </c>
      <c r="K555" t="n">
        <v>2</v>
      </c>
      <c r="P555" t="inlineStr">
        <is>
          <t>LISTED</t>
        </is>
      </c>
      <c r="S555" t="n">
        <v>33.53687164798728</v>
      </c>
      <c r="T555" t="n">
        <v>-7.614004984255076</v>
      </c>
      <c r="U555" s="7" t="n">
        <v>7766</v>
      </c>
      <c r="V555" t="inlineStr"/>
      <c r="W555" s="10" t="inlineStr">
        <is>
          <t>https://yakeey.com/fr-ma/achat/biens/40665</t>
        </is>
      </c>
    </row>
    <row r="556">
      <c r="A556" s="2" t="inlineStr">
        <is>
          <t>40693</t>
        </is>
      </c>
      <c r="B556" s="2" t="inlineStr">
        <is>
          <t>APARTMENT</t>
        </is>
      </c>
      <c r="C556" s="2" t="inlineStr">
        <is>
          <t>Hay Mohammadi (Ain Sebaa)</t>
        </is>
      </c>
      <c r="D556" s="2" t="inlineStr">
        <is>
          <t>Casablanca</t>
        </is>
      </c>
      <c r="E556" s="3" t="n">
        <v>1050000</v>
      </c>
      <c r="F556" s="4" t="n">
        <v>101</v>
      </c>
      <c r="G556" s="4" t="n"/>
      <c r="H556" s="4" t="n"/>
      <c r="I556" s="5">
        <f>IFERROR(E556/F556,"")</f>
        <v/>
      </c>
      <c r="J556" s="2" t="n">
        <v>3</v>
      </c>
      <c r="K556" s="2" t="n">
        <v>1</v>
      </c>
      <c r="L556" s="2" t="n"/>
      <c r="M556" s="2" t="n"/>
      <c r="N556" s="2" t="n"/>
      <c r="O556" s="2" t="n"/>
      <c r="P556" s="2" t="inlineStr">
        <is>
          <t>LISTED</t>
        </is>
      </c>
      <c r="Q556" s="2" t="n"/>
      <c r="R556" s="2" t="n"/>
      <c r="S556" s="2" t="n">
        <v>33.59550759101809</v>
      </c>
      <c r="T556" s="2" t="n">
        <v>-7.5589996245106</v>
      </c>
      <c r="U556" s="3" t="n">
        <v>6040</v>
      </c>
      <c r="V556" s="2" t="inlineStr"/>
      <c r="W556" s="6" t="inlineStr">
        <is>
          <t>https://yakeey.com/fr-ma/achat/biens/40693</t>
        </is>
      </c>
    </row>
    <row r="557">
      <c r="A557" t="inlineStr">
        <is>
          <t>41466</t>
        </is>
      </c>
      <c r="B557" t="inlineStr">
        <is>
          <t>APARTMENT</t>
        </is>
      </c>
      <c r="C557" t="inlineStr">
        <is>
          <t>Hopitaux</t>
        </is>
      </c>
      <c r="D557" t="inlineStr">
        <is>
          <t>Casablanca</t>
        </is>
      </c>
      <c r="E557" s="7" t="n">
        <v>2050000</v>
      </c>
      <c r="F557" s="8" t="n">
        <v>170</v>
      </c>
      <c r="G557" s="8" t="n"/>
      <c r="H557" s="8" t="n"/>
      <c r="I557" s="9">
        <f>IFERROR(E557/F557,"")</f>
        <v/>
      </c>
      <c r="J557" t="n">
        <v>2</v>
      </c>
      <c r="K557" t="n">
        <v>2</v>
      </c>
      <c r="P557" t="inlineStr">
        <is>
          <t>LISTED</t>
        </is>
      </c>
      <c r="S557" t="n">
        <v>33.57276098063615</v>
      </c>
      <c r="T557" t="n">
        <v>-7.625230893448917</v>
      </c>
      <c r="U557" s="7" t="n">
        <v>11793</v>
      </c>
      <c r="V557" t="inlineStr"/>
      <c r="W557" s="10" t="inlineStr">
        <is>
          <t>https://yakeey.com/fr-ma/achat/biens/41466</t>
        </is>
      </c>
    </row>
    <row r="558">
      <c r="A558" s="2" t="inlineStr">
        <is>
          <t>41492</t>
        </is>
      </c>
      <c r="B558" s="2" t="inlineStr">
        <is>
          <t>APARTMENT</t>
        </is>
      </c>
      <c r="C558" s="2" t="inlineStr">
        <is>
          <t>Nassim</t>
        </is>
      </c>
      <c r="D558" s="2" t="inlineStr">
        <is>
          <t>Casablanca</t>
        </is>
      </c>
      <c r="E558" s="3" t="n">
        <v>1185000</v>
      </c>
      <c r="F558" s="4" t="n">
        <v>104</v>
      </c>
      <c r="G558" s="4" t="n"/>
      <c r="H558" s="4" t="n"/>
      <c r="I558" s="5">
        <f>IFERROR(E558/F558,"")</f>
        <v/>
      </c>
      <c r="J558" s="2" t="n">
        <v>2</v>
      </c>
      <c r="K558" s="2" t="n">
        <v>2</v>
      </c>
      <c r="L558" s="2" t="n"/>
      <c r="M558" s="2" t="n"/>
      <c r="N558" s="2" t="n"/>
      <c r="O558" s="2" t="n"/>
      <c r="P558" s="2" t="inlineStr">
        <is>
          <t>LISTED</t>
        </is>
      </c>
      <c r="Q558" s="2" t="n"/>
      <c r="R558" s="2" t="n"/>
      <c r="S558" s="2" t="n">
        <v>33.5251133172198</v>
      </c>
      <c r="T558" s="2" t="n">
        <v>-7.657953423767291</v>
      </c>
      <c r="U558" s="3" t="n">
        <v>6817</v>
      </c>
      <c r="V558" s="2" t="inlineStr"/>
      <c r="W558" s="6" t="inlineStr">
        <is>
          <t>https://yakeey.com/fr-ma/achat/biens/41492</t>
        </is>
      </c>
    </row>
    <row r="559">
      <c r="A559" t="inlineStr">
        <is>
          <t>43052</t>
        </is>
      </c>
      <c r="B559" t="inlineStr">
        <is>
          <t>APARTMENT</t>
        </is>
      </c>
      <c r="C559" t="inlineStr">
        <is>
          <t>Belvedere (Roches Noires)</t>
        </is>
      </c>
      <c r="D559" t="inlineStr">
        <is>
          <t>Casablanca</t>
        </is>
      </c>
      <c r="E559" s="7" t="n">
        <v>1450000</v>
      </c>
      <c r="F559" s="8" t="n">
        <v>98</v>
      </c>
      <c r="G559" s="8" t="n"/>
      <c r="H559" s="8" t="n"/>
      <c r="I559" s="9">
        <f>IFERROR(E559/F559,"")</f>
        <v/>
      </c>
      <c r="J559" t="n">
        <v>2</v>
      </c>
      <c r="K559" t="n">
        <v>2</v>
      </c>
      <c r="P559" t="inlineStr">
        <is>
          <t>LISTED</t>
        </is>
      </c>
      <c r="S559" t="n">
        <v>33.59374305112482</v>
      </c>
      <c r="T559" t="n">
        <v>-7.601075442540813</v>
      </c>
      <c r="U559" s="7" t="n">
        <v>8341</v>
      </c>
      <c r="V559" t="inlineStr"/>
      <c r="W559" s="10" t="inlineStr">
        <is>
          <t>https://yakeey.com/fr-ma/achat/biens/43052</t>
        </is>
      </c>
    </row>
    <row r="560">
      <c r="A560" s="2" t="inlineStr">
        <is>
          <t>43346</t>
        </is>
      </c>
      <c r="B560" s="2" t="inlineStr">
        <is>
          <t>APARTMENT</t>
        </is>
      </c>
      <c r="C560" s="2" t="inlineStr">
        <is>
          <t>Burger</t>
        </is>
      </c>
      <c r="D560" s="2" t="inlineStr">
        <is>
          <t>Casablanca</t>
        </is>
      </c>
      <c r="E560" s="3" t="n">
        <v>3100000</v>
      </c>
      <c r="F560" s="4" t="n">
        <v>320</v>
      </c>
      <c r="G560" s="4" t="n"/>
      <c r="H560" s="4" t="n"/>
      <c r="I560" s="5">
        <f>IFERROR(E560/F560,"")</f>
        <v/>
      </c>
      <c r="J560" s="2" t="n">
        <v>3</v>
      </c>
      <c r="K560" s="2" t="n">
        <v>3</v>
      </c>
      <c r="L560" s="2" t="n"/>
      <c r="M560" s="2" t="n"/>
      <c r="N560" s="2" t="n"/>
      <c r="O560" s="2" t="n"/>
      <c r="P560" s="2" t="inlineStr">
        <is>
          <t>LISTED</t>
        </is>
      </c>
      <c r="Q560" s="2" t="n"/>
      <c r="R560" s="2" t="n"/>
      <c r="S560" s="2" t="n">
        <v>33.57162380204058</v>
      </c>
      <c r="T560" s="2" t="n">
        <v>-7.643623208614616</v>
      </c>
      <c r="U560" s="3" t="n">
        <v>17834</v>
      </c>
      <c r="V560" s="2" t="inlineStr"/>
      <c r="W560" s="6" t="inlineStr">
        <is>
          <t>https://yakeey.com/fr-ma/achat/biens/43346</t>
        </is>
      </c>
    </row>
    <row r="561">
      <c r="A561" t="inlineStr">
        <is>
          <t>43458</t>
        </is>
      </c>
      <c r="B561" t="inlineStr">
        <is>
          <t>APARTMENT</t>
        </is>
      </c>
      <c r="C561" t="inlineStr">
        <is>
          <t>Racine</t>
        </is>
      </c>
      <c r="D561" t="inlineStr">
        <is>
          <t>Casablanca</t>
        </is>
      </c>
      <c r="E561" s="7" t="n">
        <v>2950000</v>
      </c>
      <c r="F561" s="8" t="n">
        <v>166</v>
      </c>
      <c r="G561" s="8" t="n"/>
      <c r="H561" s="8" t="n"/>
      <c r="I561" s="9">
        <f>IFERROR(E561/F561,"")</f>
        <v/>
      </c>
      <c r="J561" t="n">
        <v>3</v>
      </c>
      <c r="K561" t="n">
        <v>2</v>
      </c>
      <c r="P561" t="inlineStr">
        <is>
          <t>LISTED</t>
        </is>
      </c>
      <c r="S561" t="n">
        <v>33.592179054693</v>
      </c>
      <c r="T561" t="n">
        <v>-7.642359651712527</v>
      </c>
      <c r="U561" s="7" t="n">
        <v>16971</v>
      </c>
      <c r="V561" t="inlineStr"/>
      <c r="W561" s="10" t="inlineStr">
        <is>
          <t>https://yakeey.com/fr-ma/achat/biens/43458</t>
        </is>
      </c>
    </row>
    <row r="562">
      <c r="A562" s="2" t="inlineStr">
        <is>
          <t>44848</t>
        </is>
      </c>
      <c r="B562" s="2" t="inlineStr">
        <is>
          <t>APARTMENT</t>
        </is>
      </c>
      <c r="C562" s="2" t="inlineStr">
        <is>
          <t>Mers Sultan</t>
        </is>
      </c>
      <c r="D562" s="2" t="inlineStr">
        <is>
          <t>Casablanca</t>
        </is>
      </c>
      <c r="E562" s="3" t="n">
        <v>2000000</v>
      </c>
      <c r="F562" s="4" t="n">
        <v>214</v>
      </c>
      <c r="G562" s="4" t="n"/>
      <c r="H562" s="4" t="n"/>
      <c r="I562" s="5">
        <f>IFERROR(E562/F562,"")</f>
        <v/>
      </c>
      <c r="J562" s="2" t="n">
        <v>3</v>
      </c>
      <c r="K562" s="2" t="n">
        <v>3</v>
      </c>
      <c r="L562" s="2" t="n"/>
      <c r="M562" s="2" t="n"/>
      <c r="N562" s="2" t="n"/>
      <c r="O562" s="2" t="n"/>
      <c r="P562" s="2" t="inlineStr">
        <is>
          <t>LISTED</t>
        </is>
      </c>
      <c r="Q562" s="2" t="n"/>
      <c r="R562" s="2" t="n"/>
      <c r="S562" s="2" t="n">
        <v>33.57934566074577</v>
      </c>
      <c r="T562" s="2" t="n">
        <v>-7.614639597812638</v>
      </c>
      <c r="U562" s="3" t="n">
        <v>11506</v>
      </c>
      <c r="V562" s="2" t="inlineStr"/>
      <c r="W562" s="6" t="inlineStr">
        <is>
          <t>https://yakeey.com/fr-ma/achat/biens/44848</t>
        </is>
      </c>
    </row>
    <row r="563">
      <c r="A563" t="inlineStr">
        <is>
          <t>45055</t>
        </is>
      </c>
      <c r="B563" t="inlineStr">
        <is>
          <t>APARTMENT</t>
        </is>
      </c>
      <c r="C563" t="inlineStr">
        <is>
          <t>Triangle D'Or</t>
        </is>
      </c>
      <c r="D563" t="inlineStr">
        <is>
          <t>Casablanca</t>
        </is>
      </c>
      <c r="E563" s="7" t="n">
        <v>3400000</v>
      </c>
      <c r="F563" s="8" t="n">
        <v>170</v>
      </c>
      <c r="G563" s="8" t="n"/>
      <c r="H563" s="8" t="n"/>
      <c r="I563" s="9">
        <f>IFERROR(E563/F563,"")</f>
        <v/>
      </c>
      <c r="J563" t="n">
        <v>3</v>
      </c>
      <c r="K563" t="n">
        <v>2</v>
      </c>
      <c r="P563" t="inlineStr">
        <is>
          <t>LISTED</t>
        </is>
      </c>
      <c r="S563" t="n">
        <v>33.58903664129245</v>
      </c>
      <c r="T563" t="n">
        <v>-7.636532380124585</v>
      </c>
      <c r="U563" s="7" t="n">
        <v>19560</v>
      </c>
      <c r="V563" t="inlineStr"/>
      <c r="W563" s="10" t="inlineStr">
        <is>
          <t>https://yakeey.com/fr-ma/achat/biens/45055</t>
        </is>
      </c>
    </row>
    <row r="564">
      <c r="A564" s="2" t="inlineStr">
        <is>
          <t>45302</t>
        </is>
      </c>
      <c r="B564" s="2" t="inlineStr">
        <is>
          <t>APARTMENT</t>
        </is>
      </c>
      <c r="C564" s="2" t="inlineStr">
        <is>
          <t>Roches Noires</t>
        </is>
      </c>
      <c r="D564" s="2" t="inlineStr">
        <is>
          <t>Casablanca</t>
        </is>
      </c>
      <c r="E564" s="3" t="n">
        <v>1760000</v>
      </c>
      <c r="F564" s="4" t="n">
        <v>165</v>
      </c>
      <c r="G564" s="4" t="n"/>
      <c r="H564" s="4" t="n"/>
      <c r="I564" s="5">
        <f>IFERROR(E564/F564,"")</f>
        <v/>
      </c>
      <c r="J564" s="2" t="n">
        <v>3</v>
      </c>
      <c r="K564" s="2" t="n">
        <v>2</v>
      </c>
      <c r="L564" s="2" t="n"/>
      <c r="M564" s="2" t="n"/>
      <c r="N564" s="2" t="n"/>
      <c r="O564" s="2" t="n"/>
      <c r="P564" s="2" t="inlineStr">
        <is>
          <t>LISTED</t>
        </is>
      </c>
      <c r="Q564" s="2" t="n"/>
      <c r="R564" s="2" t="n"/>
      <c r="S564" s="2" t="n">
        <v>33.59847351332255</v>
      </c>
      <c r="T564" s="2" t="n">
        <v>-7.583087700187549</v>
      </c>
      <c r="U564" s="3" t="n">
        <v>10125</v>
      </c>
      <c r="V564" s="2" t="inlineStr"/>
      <c r="W564" s="6" t="inlineStr">
        <is>
          <t>https://yakeey.com/fr-ma/achat/biens/45302</t>
        </is>
      </c>
    </row>
    <row r="565">
      <c r="A565" t="inlineStr">
        <is>
          <t>45418</t>
        </is>
      </c>
      <c r="B565" t="inlineStr">
        <is>
          <t>APARTMENT</t>
        </is>
      </c>
      <c r="C565" t="inlineStr">
        <is>
          <t>Roches Noires</t>
        </is>
      </c>
      <c r="D565" t="inlineStr">
        <is>
          <t>Casablanca</t>
        </is>
      </c>
      <c r="E565" s="7" t="n">
        <v>1350000</v>
      </c>
      <c r="F565" s="8" t="n">
        <v>144</v>
      </c>
      <c r="G565" s="8" t="n"/>
      <c r="H565" s="8" t="n"/>
      <c r="I565" s="9">
        <f>IFERROR(E565/F565,"")</f>
        <v/>
      </c>
      <c r="J565" t="n">
        <v>3</v>
      </c>
      <c r="K565" t="n">
        <v>1</v>
      </c>
      <c r="P565" t="inlineStr">
        <is>
          <t>LISTED</t>
        </is>
      </c>
      <c r="S565" t="n">
        <v>33.60247767736108</v>
      </c>
      <c r="T565" t="n">
        <v>-7.583520857442288</v>
      </c>
      <c r="U565" s="7" t="n">
        <v>7766</v>
      </c>
      <c r="V565" t="inlineStr"/>
      <c r="W565" s="10" t="inlineStr">
        <is>
          <t>https://yakeey.com/fr-ma/achat/biens/45418</t>
        </is>
      </c>
    </row>
    <row r="566">
      <c r="A566" s="2" t="inlineStr">
        <is>
          <t>45428</t>
        </is>
      </c>
      <c r="B566" s="2" t="inlineStr">
        <is>
          <t>APARTMENT</t>
        </is>
      </c>
      <c r="C566" s="2" t="inlineStr">
        <is>
          <t>Maarif Extension</t>
        </is>
      </c>
      <c r="D566" s="2" t="inlineStr">
        <is>
          <t>Casablanca</t>
        </is>
      </c>
      <c r="E566" s="3" t="n">
        <v>3600000</v>
      </c>
      <c r="F566" s="4" t="n">
        <v>227</v>
      </c>
      <c r="G566" s="4" t="n"/>
      <c r="H566" s="4" t="n"/>
      <c r="I566" s="5">
        <f>IFERROR(E566/F566,"")</f>
        <v/>
      </c>
      <c r="J566" s="2" t="n">
        <v>4</v>
      </c>
      <c r="K566" s="2" t="n">
        <v>2</v>
      </c>
      <c r="L566" s="2" t="n"/>
      <c r="M566" s="2" t="n"/>
      <c r="N566" s="2" t="n"/>
      <c r="O566" s="2" t="n"/>
      <c r="P566" s="2" t="inlineStr">
        <is>
          <t>LISTED</t>
        </is>
      </c>
      <c r="Q566" s="2" t="n"/>
      <c r="R566" s="2" t="n"/>
      <c r="S566" s="2" t="n">
        <v>33.58577273404237</v>
      </c>
      <c r="T566" s="2" t="n">
        <v>-7.64502406703951</v>
      </c>
      <c r="U566" s="3" t="n">
        <v>20711</v>
      </c>
      <c r="V566" s="2" t="inlineStr"/>
      <c r="W566" s="6" t="inlineStr">
        <is>
          <t>https://yakeey.com/fr-ma/achat/biens/45428</t>
        </is>
      </c>
    </row>
    <row r="567">
      <c r="A567" t="inlineStr">
        <is>
          <t>45925</t>
        </is>
      </c>
      <c r="B567" t="inlineStr">
        <is>
          <t>APARTMENT</t>
        </is>
      </c>
      <c r="C567" t="inlineStr">
        <is>
          <t>Bachkou</t>
        </is>
      </c>
      <c r="D567" t="inlineStr">
        <is>
          <t>Casablanca</t>
        </is>
      </c>
      <c r="E567" s="7" t="n">
        <v>1750000</v>
      </c>
      <c r="F567" s="8" t="n">
        <v>141</v>
      </c>
      <c r="G567" s="8" t="n"/>
      <c r="H567" s="8" t="n"/>
      <c r="I567" s="9">
        <f>IFERROR(E567/F567,"")</f>
        <v/>
      </c>
      <c r="J567" t="n">
        <v>3</v>
      </c>
      <c r="K567" t="n">
        <v>1</v>
      </c>
      <c r="P567" t="inlineStr">
        <is>
          <t>LISTED</t>
        </is>
      </c>
      <c r="S567" t="n">
        <v>33.55425436338614</v>
      </c>
      <c r="T567" t="n">
        <v>-7.627053896288908</v>
      </c>
      <c r="U567" s="7" t="n">
        <v>10067</v>
      </c>
      <c r="V567" t="inlineStr"/>
      <c r="W567" s="10" t="inlineStr">
        <is>
          <t>https://yakeey.com/fr-ma/achat/biens/45925</t>
        </is>
      </c>
    </row>
    <row r="568">
      <c r="A568" s="2" t="inlineStr">
        <is>
          <t>46645</t>
        </is>
      </c>
      <c r="B568" s="2" t="inlineStr">
        <is>
          <t>APARTMENT</t>
        </is>
      </c>
      <c r="C568" s="2" t="inlineStr">
        <is>
          <t>Burger</t>
        </is>
      </c>
      <c r="D568" s="2" t="inlineStr">
        <is>
          <t>Casablanca</t>
        </is>
      </c>
      <c r="E568" s="3" t="n">
        <v>1100000</v>
      </c>
      <c r="F568" s="4" t="n">
        <v>110</v>
      </c>
      <c r="G568" s="4" t="n"/>
      <c r="H568" s="4" t="n"/>
      <c r="I568" s="5">
        <f>IFERROR(E568/F568,"")</f>
        <v/>
      </c>
      <c r="J568" s="2" t="n">
        <v>2</v>
      </c>
      <c r="K568" s="2" t="n">
        <v>1</v>
      </c>
      <c r="L568" s="2" t="n"/>
      <c r="M568" s="2" t="n"/>
      <c r="N568" s="2" t="n"/>
      <c r="O568" s="2" t="n"/>
      <c r="P568" s="2" t="inlineStr">
        <is>
          <t>LISTED</t>
        </is>
      </c>
      <c r="Q568" s="2" t="n"/>
      <c r="R568" s="2" t="n"/>
      <c r="S568" s="2" t="n">
        <v>33.57156811090354</v>
      </c>
      <c r="T568" s="2" t="n">
        <v>-7.644115741579069</v>
      </c>
      <c r="U568" s="3" t="n">
        <v>6328</v>
      </c>
      <c r="V568" s="2" t="inlineStr"/>
      <c r="W568" s="6" t="inlineStr">
        <is>
          <t>https://yakeey.com/fr-ma/achat/biens/46645</t>
        </is>
      </c>
    </row>
    <row r="569">
      <c r="A569" t="inlineStr">
        <is>
          <t>46785</t>
        </is>
      </c>
      <c r="B569" t="inlineStr">
        <is>
          <t>APARTMENT</t>
        </is>
      </c>
      <c r="C569" t="inlineStr">
        <is>
          <t>Fida</t>
        </is>
      </c>
      <c r="D569" t="inlineStr">
        <is>
          <t>Casablanca</t>
        </is>
      </c>
      <c r="E569" s="7" t="n">
        <v>650000</v>
      </c>
      <c r="F569" s="8" t="n">
        <v>66</v>
      </c>
      <c r="G569" s="8" t="n"/>
      <c r="H569" s="8" t="n"/>
      <c r="I569" s="9">
        <f>IFERROR(E569/F569,"")</f>
        <v/>
      </c>
      <c r="J569" t="n">
        <v>2</v>
      </c>
      <c r="K569" t="n">
        <v>1</v>
      </c>
      <c r="P569" t="inlineStr">
        <is>
          <t>LISTED</t>
        </is>
      </c>
      <c r="S569" t="n">
        <v>33.57176232062254</v>
      </c>
      <c r="T569" t="n">
        <v>-7.59774882278737</v>
      </c>
      <c r="U569" s="7" t="n">
        <v>3739</v>
      </c>
      <c r="V569" t="inlineStr"/>
      <c r="W569" s="10" t="inlineStr">
        <is>
          <t>https://yakeey.com/fr-ma/achat/biens/46785</t>
        </is>
      </c>
    </row>
    <row r="570">
      <c r="A570" s="2" t="inlineStr">
        <is>
          <t>46788</t>
        </is>
      </c>
      <c r="B570" s="2" t="inlineStr">
        <is>
          <t>APARTMENT</t>
        </is>
      </c>
      <c r="C570" s="2" t="inlineStr">
        <is>
          <t>Maarif Extension</t>
        </is>
      </c>
      <c r="D570" s="2" t="inlineStr">
        <is>
          <t>Casablanca</t>
        </is>
      </c>
      <c r="E570" s="3" t="n">
        <v>1580000</v>
      </c>
      <c r="F570" s="4" t="n">
        <v>151</v>
      </c>
      <c r="G570" s="4" t="n"/>
      <c r="H570" s="4" t="n"/>
      <c r="I570" s="5">
        <f>IFERROR(E570/F570,"")</f>
        <v/>
      </c>
      <c r="J570" s="2" t="n">
        <v>3</v>
      </c>
      <c r="K570" s="2" t="n">
        <v>2</v>
      </c>
      <c r="L570" s="2" t="n"/>
      <c r="M570" s="2" t="n"/>
      <c r="N570" s="2" t="n"/>
      <c r="O570" s="2" t="n"/>
      <c r="P570" s="2" t="inlineStr">
        <is>
          <t>LISTED</t>
        </is>
      </c>
      <c r="Q570" s="2" t="n"/>
      <c r="R570" s="2" t="n"/>
      <c r="S570" s="2" t="n">
        <v>33.57906938344482</v>
      </c>
      <c r="T570" s="2" t="n">
        <v>-7.641395559154803</v>
      </c>
      <c r="U570" s="3" t="n">
        <v>9089</v>
      </c>
      <c r="V570" s="2" t="inlineStr"/>
      <c r="W570" s="6" t="inlineStr">
        <is>
          <t>https://yakeey.com/fr-ma/achat/biens/46788</t>
        </is>
      </c>
    </row>
    <row r="571">
      <c r="A571" t="inlineStr">
        <is>
          <t>47096</t>
        </is>
      </c>
      <c r="B571" t="inlineStr">
        <is>
          <t>APARTMENT</t>
        </is>
      </c>
      <c r="C571" t="inlineStr">
        <is>
          <t>Tamaris2</t>
        </is>
      </c>
      <c r="D571" t="inlineStr">
        <is>
          <t>Dar Bouazza</t>
        </is>
      </c>
      <c r="E571" s="7" t="n">
        <v>1800000</v>
      </c>
      <c r="F571" s="8" t="n">
        <v>168</v>
      </c>
      <c r="G571" s="8" t="n"/>
      <c r="H571" s="8" t="n"/>
      <c r="I571" s="9">
        <f>IFERROR(E571/F571,"")</f>
        <v/>
      </c>
      <c r="J571" t="n">
        <v>2</v>
      </c>
      <c r="K571" t="n">
        <v>2</v>
      </c>
      <c r="P571" t="inlineStr">
        <is>
          <t>LISTED</t>
        </is>
      </c>
      <c r="S571" t="n">
        <v>33.51897597917078</v>
      </c>
      <c r="T571" t="n">
        <v>-7.838491158426181</v>
      </c>
      <c r="U571" s="7" t="n">
        <v>10355</v>
      </c>
      <c r="V571" t="inlineStr"/>
      <c r="W571" s="10" t="inlineStr">
        <is>
          <t>https://yakeey.com/fr-ma/achat/biens/47096</t>
        </is>
      </c>
    </row>
    <row r="572">
      <c r="A572" s="2" t="inlineStr">
        <is>
          <t>47118</t>
        </is>
      </c>
      <c r="B572" s="2" t="inlineStr">
        <is>
          <t>APARTMENT</t>
        </is>
      </c>
      <c r="C572" s="2" t="inlineStr">
        <is>
          <t>Hopitaux</t>
        </is>
      </c>
      <c r="D572" s="2" t="inlineStr">
        <is>
          <t>Casablanca</t>
        </is>
      </c>
      <c r="E572" s="3" t="n">
        <v>1800000</v>
      </c>
      <c r="F572" s="4" t="n">
        <v>169</v>
      </c>
      <c r="G572" s="4" t="n"/>
      <c r="H572" s="4" t="n"/>
      <c r="I572" s="5">
        <f>IFERROR(E572/F572,"")</f>
        <v/>
      </c>
      <c r="J572" s="2" t="n">
        <v>3</v>
      </c>
      <c r="K572" s="2" t="n">
        <v>1</v>
      </c>
      <c r="L572" s="2" t="n"/>
      <c r="M572" s="2" t="n"/>
      <c r="N572" s="2" t="n"/>
      <c r="O572" s="2" t="n"/>
      <c r="P572" s="2" t="inlineStr">
        <is>
          <t>LISTED</t>
        </is>
      </c>
      <c r="Q572" s="2" t="n"/>
      <c r="R572" s="2" t="n"/>
      <c r="S572" s="2" t="n">
        <v>33.56642915740466</v>
      </c>
      <c r="T572" s="2" t="n">
        <v>-7.624972693307916</v>
      </c>
      <c r="U572" s="3" t="n">
        <v>10355</v>
      </c>
      <c r="V572" s="2" t="inlineStr"/>
      <c r="W572" s="6" t="inlineStr">
        <is>
          <t>https://yakeey.com/fr-ma/achat/biens/47118</t>
        </is>
      </c>
    </row>
    <row r="573">
      <c r="A573" t="inlineStr">
        <is>
          <t>47448</t>
        </is>
      </c>
      <c r="B573" t="inlineStr">
        <is>
          <t>APARTMENT</t>
        </is>
      </c>
      <c r="C573" t="inlineStr">
        <is>
          <t>Hopitaux</t>
        </is>
      </c>
      <c r="D573" t="inlineStr">
        <is>
          <t>Casablanca</t>
        </is>
      </c>
      <c r="E573" s="7" t="n">
        <v>1500000</v>
      </c>
      <c r="F573" s="8" t="n">
        <v>125</v>
      </c>
      <c r="G573" s="8" t="n"/>
      <c r="H573" s="8" t="n"/>
      <c r="I573" s="9">
        <f>IFERROR(E573/F573,"")</f>
        <v/>
      </c>
      <c r="J573" t="n">
        <v>3</v>
      </c>
      <c r="K573" t="n">
        <v>2</v>
      </c>
      <c r="P573" t="inlineStr">
        <is>
          <t>LISTED</t>
        </is>
      </c>
      <c r="S573" t="n">
        <v>33.57201585532584</v>
      </c>
      <c r="T573" t="n">
        <v>-7.616768900753904</v>
      </c>
      <c r="U573" s="7" t="n">
        <v>8629</v>
      </c>
      <c r="V573" t="inlineStr"/>
      <c r="W573" s="10" t="inlineStr">
        <is>
          <t>https://yakeey.com/fr-ma/achat/biens/47448</t>
        </is>
      </c>
    </row>
    <row r="574">
      <c r="A574" s="2" t="inlineStr">
        <is>
          <t>47564</t>
        </is>
      </c>
      <c r="B574" s="2" t="inlineStr">
        <is>
          <t>APARTMENT</t>
        </is>
      </c>
      <c r="C574" s="2" t="inlineStr">
        <is>
          <t>Lemkansa</t>
        </is>
      </c>
      <c r="D574" s="2" t="inlineStr">
        <is>
          <t>Casablanca</t>
        </is>
      </c>
      <c r="E574" s="3" t="n">
        <v>860000</v>
      </c>
      <c r="F574" s="4" t="n">
        <v>82</v>
      </c>
      <c r="G574" s="4" t="n"/>
      <c r="H574" s="4" t="n"/>
      <c r="I574" s="5">
        <f>IFERROR(E574/F574,"")</f>
        <v/>
      </c>
      <c r="J574" s="2" t="n">
        <v>2</v>
      </c>
      <c r="K574" s="2" t="n">
        <v>2</v>
      </c>
      <c r="L574" s="2" t="n"/>
      <c r="M574" s="2" t="n"/>
      <c r="N574" s="2" t="n"/>
      <c r="O574" s="2" t="n"/>
      <c r="P574" s="2" t="inlineStr">
        <is>
          <t>LISTED</t>
        </is>
      </c>
      <c r="Q574" s="2" t="n"/>
      <c r="R574" s="2" t="n"/>
      <c r="S574" s="2" t="n">
        <v>33.53365700020501</v>
      </c>
      <c r="T574" s="2" t="n">
        <v>-7.581457006309545</v>
      </c>
      <c r="U574" s="3" t="n">
        <v>4947</v>
      </c>
      <c r="V574" s="2" t="inlineStr"/>
      <c r="W574" s="6" t="inlineStr">
        <is>
          <t>https://yakeey.com/fr-ma/achat/biens/47564</t>
        </is>
      </c>
    </row>
    <row r="575">
      <c r="A575" t="inlineStr">
        <is>
          <t>47620</t>
        </is>
      </c>
      <c r="B575" t="inlineStr">
        <is>
          <t>APARTMENT</t>
        </is>
      </c>
      <c r="C575" t="inlineStr">
        <is>
          <t>Mandarouna</t>
        </is>
      </c>
      <c r="D575" t="inlineStr">
        <is>
          <t>Casablanca</t>
        </is>
      </c>
      <c r="E575" s="7" t="n">
        <v>1030000</v>
      </c>
      <c r="F575" s="8" t="n">
        <v>96</v>
      </c>
      <c r="G575" s="8" t="n"/>
      <c r="H575" s="8" t="n"/>
      <c r="I575" s="9">
        <f>IFERROR(E575/F575,"")</f>
        <v/>
      </c>
      <c r="J575" t="n">
        <v>3</v>
      </c>
      <c r="K575" t="n">
        <v>2</v>
      </c>
      <c r="P575" t="inlineStr">
        <is>
          <t>LISTED</t>
        </is>
      </c>
      <c r="S575" t="n">
        <v>33.53091626223161</v>
      </c>
      <c r="T575" t="n">
        <v>-7.610891799803905</v>
      </c>
      <c r="U575" s="7" t="n">
        <v>5925</v>
      </c>
      <c r="V575" t="inlineStr"/>
      <c r="W575" s="10" t="inlineStr">
        <is>
          <t>https://yakeey.com/fr-ma/achat/biens/47620</t>
        </is>
      </c>
    </row>
    <row r="576">
      <c r="A576" s="2" t="inlineStr">
        <is>
          <t>47779</t>
        </is>
      </c>
      <c r="B576" s="2" t="inlineStr">
        <is>
          <t>APARTMENT</t>
        </is>
      </c>
      <c r="C576" s="2" t="inlineStr">
        <is>
          <t>Triangle D'Or</t>
        </is>
      </c>
      <c r="D576" s="2" t="inlineStr">
        <is>
          <t>Casablanca</t>
        </is>
      </c>
      <c r="E576" s="3" t="n">
        <v>2350000</v>
      </c>
      <c r="F576" s="4" t="n">
        <v>166</v>
      </c>
      <c r="G576" s="4" t="n"/>
      <c r="H576" s="4" t="n"/>
      <c r="I576" s="5">
        <f>IFERROR(E576/F576,"")</f>
        <v/>
      </c>
      <c r="J576" s="2" t="n">
        <v>2</v>
      </c>
      <c r="K576" s="2" t="n">
        <v>2</v>
      </c>
      <c r="L576" s="2" t="n"/>
      <c r="M576" s="2" t="n"/>
      <c r="N576" s="2" t="n"/>
      <c r="O576" s="2" t="n"/>
      <c r="P576" s="2" t="inlineStr">
        <is>
          <t>SOLD_OUT</t>
        </is>
      </c>
      <c r="Q576" s="2" t="n"/>
      <c r="R576" s="2" t="n"/>
      <c r="S576" s="2" t="n">
        <v>33.59080396150339</v>
      </c>
      <c r="T576" s="2" t="n">
        <v>-7.63459646752828</v>
      </c>
      <c r="U576" s="3" t="n">
        <v>13519</v>
      </c>
      <c r="V576" s="2" t="inlineStr"/>
      <c r="W576" s="6" t="inlineStr">
        <is>
          <t>https://yakeey.com/fr-ma/achat/biens/47779</t>
        </is>
      </c>
    </row>
    <row r="577">
      <c r="A577" t="inlineStr">
        <is>
          <t>47964</t>
        </is>
      </c>
      <c r="B577" t="inlineStr">
        <is>
          <t>APARTMENT</t>
        </is>
      </c>
      <c r="C577" t="inlineStr">
        <is>
          <t>Errahma</t>
        </is>
      </c>
      <c r="D577" t="inlineStr">
        <is>
          <t>Dar Bouazza</t>
        </is>
      </c>
      <c r="E577" s="7" t="n">
        <v>740000</v>
      </c>
      <c r="F577" s="8" t="n">
        <v>91</v>
      </c>
      <c r="G577" s="8" t="n"/>
      <c r="H577" s="8" t="n"/>
      <c r="I577" s="9">
        <f>IFERROR(E577/F577,"")</f>
        <v/>
      </c>
      <c r="J577" t="n">
        <v>2</v>
      </c>
      <c r="K577" t="n">
        <v>2</v>
      </c>
      <c r="P577" t="inlineStr">
        <is>
          <t>LISTED</t>
        </is>
      </c>
      <c r="S577" t="n">
        <v>33.53631426825666</v>
      </c>
      <c r="T577" t="n">
        <v>-7.725056772817233</v>
      </c>
      <c r="U577" s="7" t="n">
        <v>4257</v>
      </c>
      <c r="V577" t="inlineStr"/>
      <c r="W577" s="10" t="inlineStr">
        <is>
          <t>https://yakeey.com/fr-ma/achat/biens/47964</t>
        </is>
      </c>
    </row>
    <row r="578">
      <c r="A578" s="2" t="inlineStr">
        <is>
          <t>48159</t>
        </is>
      </c>
      <c r="B578" s="2" t="inlineStr">
        <is>
          <t>APARTMENT</t>
        </is>
      </c>
      <c r="C578" s="2" t="inlineStr">
        <is>
          <t>Ferme Bretonne</t>
        </is>
      </c>
      <c r="D578" s="2" t="inlineStr">
        <is>
          <t>Casablanca</t>
        </is>
      </c>
      <c r="E578" s="3" t="n">
        <v>2000000</v>
      </c>
      <c r="F578" s="4" t="n">
        <v>113</v>
      </c>
      <c r="G578" s="4" t="n"/>
      <c r="H578" s="4" t="n"/>
      <c r="I578" s="5">
        <f>IFERROR(E578/F578,"")</f>
        <v/>
      </c>
      <c r="J578" s="2" t="n">
        <v>2</v>
      </c>
      <c r="K578" s="2" t="n">
        <v>2</v>
      </c>
      <c r="L578" s="2" t="n"/>
      <c r="M578" s="2" t="n"/>
      <c r="N578" s="2" t="n"/>
      <c r="O578" s="2" t="n"/>
      <c r="P578" s="2" t="inlineStr">
        <is>
          <t>LISTED</t>
        </is>
      </c>
      <c r="Q578" s="2" t="n"/>
      <c r="R578" s="2" t="n"/>
      <c r="S578" s="2" t="n">
        <v>33.56473590852677</v>
      </c>
      <c r="T578" s="2" t="n">
        <v>-7.646820193432216</v>
      </c>
      <c r="U578" s="3" t="n">
        <v>11506</v>
      </c>
      <c r="V578" s="2" t="inlineStr"/>
      <c r="W578" s="6" t="inlineStr">
        <is>
          <t>https://yakeey.com/fr-ma/achat/biens/48159</t>
        </is>
      </c>
    </row>
    <row r="579">
      <c r="A579" t="inlineStr">
        <is>
          <t>48168</t>
        </is>
      </c>
      <c r="B579" t="inlineStr">
        <is>
          <t>APARTMENT</t>
        </is>
      </c>
      <c r="C579" t="inlineStr">
        <is>
          <t>Mers Sultan</t>
        </is>
      </c>
      <c r="D579" t="inlineStr">
        <is>
          <t>Casablanca</t>
        </is>
      </c>
      <c r="E579" s="7" t="n">
        <v>1250000</v>
      </c>
      <c r="F579" s="8" t="n">
        <v>126</v>
      </c>
      <c r="G579" s="8" t="n"/>
      <c r="H579" s="8" t="n"/>
      <c r="I579" s="9">
        <f>IFERROR(E579/F579,"")</f>
        <v/>
      </c>
      <c r="J579" t="n">
        <v>2</v>
      </c>
      <c r="K579" t="n">
        <v>2</v>
      </c>
      <c r="P579" t="inlineStr">
        <is>
          <t>LISTED</t>
        </is>
      </c>
      <c r="S579" t="n">
        <v>33.57536325411792</v>
      </c>
      <c r="T579" t="n">
        <v>-7.61496920185081</v>
      </c>
      <c r="U579" s="7" t="n">
        <v>7191</v>
      </c>
      <c r="V579" t="inlineStr"/>
      <c r="W579" s="10" t="inlineStr">
        <is>
          <t>https://yakeey.com/fr-ma/achat/biens/48168</t>
        </is>
      </c>
    </row>
    <row r="580">
      <c r="A580" s="2" t="inlineStr">
        <is>
          <t>4818</t>
        </is>
      </c>
      <c r="B580" s="2" t="inlineStr">
        <is>
          <t>APARTMENT</t>
        </is>
      </c>
      <c r="C580" s="2" t="inlineStr">
        <is>
          <t>Benmsick</t>
        </is>
      </c>
      <c r="D580" s="2" t="inlineStr">
        <is>
          <t>Casablanca</t>
        </is>
      </c>
      <c r="E580" s="3" t="n">
        <v>700000</v>
      </c>
      <c r="F580" s="4" t="n">
        <v>63</v>
      </c>
      <c r="G580" s="4" t="n"/>
      <c r="H580" s="4" t="n"/>
      <c r="I580" s="5">
        <f>IFERROR(E580/F580,"")</f>
        <v/>
      </c>
      <c r="J580" s="2" t="n">
        <v>2</v>
      </c>
      <c r="K580" s="2" t="n">
        <v>1</v>
      </c>
      <c r="L580" s="2" t="n"/>
      <c r="M580" s="2" t="n"/>
      <c r="N580" s="2" t="n"/>
      <c r="O580" s="2" t="n"/>
      <c r="P580" s="2" t="inlineStr">
        <is>
          <t>LISTED</t>
        </is>
      </c>
      <c r="Q580" s="2" t="n"/>
      <c r="R580" s="2" t="n"/>
      <c r="S580" s="2" t="n">
        <v>33.55211423411762</v>
      </c>
      <c r="T580" s="2" t="n">
        <v>-7.585097938242567</v>
      </c>
      <c r="U580" s="3" t="n">
        <v>4027</v>
      </c>
      <c r="V580" s="2" t="inlineStr"/>
      <c r="W580" s="6" t="inlineStr">
        <is>
          <t>https://yakeey.com/fr-ma/achat/biens/4818</t>
        </is>
      </c>
    </row>
    <row r="581">
      <c r="A581" t="inlineStr">
        <is>
          <t>4842</t>
        </is>
      </c>
      <c r="B581" t="inlineStr">
        <is>
          <t>APARTMENT</t>
        </is>
      </c>
      <c r="C581" t="inlineStr">
        <is>
          <t>Hopitaux</t>
        </is>
      </c>
      <c r="D581" t="inlineStr">
        <is>
          <t>Casablanca</t>
        </is>
      </c>
      <c r="E581" s="7" t="n">
        <v>1900000</v>
      </c>
      <c r="F581" s="8" t="n">
        <v>208</v>
      </c>
      <c r="G581" s="8" t="n"/>
      <c r="H581" s="8" t="n"/>
      <c r="I581" s="9">
        <f>IFERROR(E581/F581,"")</f>
        <v/>
      </c>
      <c r="J581" t="n">
        <v>2</v>
      </c>
      <c r="K581" t="n">
        <v>2</v>
      </c>
      <c r="P581" t="inlineStr">
        <is>
          <t>LISTED</t>
        </is>
      </c>
      <c r="S581" t="n">
        <v>33.58098659250644</v>
      </c>
      <c r="T581" t="n">
        <v>-7.614642461752992</v>
      </c>
      <c r="U581" s="7" t="n">
        <v>10930</v>
      </c>
      <c r="V581" t="inlineStr"/>
      <c r="W581" s="10" t="inlineStr">
        <is>
          <t>https://yakeey.com/fr-ma/achat/biens/4842</t>
        </is>
      </c>
    </row>
    <row r="582">
      <c r="A582" s="2" t="inlineStr">
        <is>
          <t>48441</t>
        </is>
      </c>
      <c r="B582" s="2" t="inlineStr">
        <is>
          <t>APARTMENT</t>
        </is>
      </c>
      <c r="C582" s="2" t="inlineStr">
        <is>
          <t>Derb Omar</t>
        </is>
      </c>
      <c r="D582" s="2" t="inlineStr">
        <is>
          <t>Casablanca</t>
        </is>
      </c>
      <c r="E582" s="3" t="n">
        <v>1000000</v>
      </c>
      <c r="F582" s="4" t="n">
        <v>128</v>
      </c>
      <c r="G582" s="4" t="n"/>
      <c r="H582" s="4" t="n"/>
      <c r="I582" s="5">
        <f>IFERROR(E582/F582,"")</f>
        <v/>
      </c>
      <c r="J582" s="2" t="n">
        <v>2</v>
      </c>
      <c r="K582" s="2" t="n">
        <v>2</v>
      </c>
      <c r="L582" s="2" t="n"/>
      <c r="M582" s="2" t="n"/>
      <c r="N582" s="2" t="n"/>
      <c r="O582" s="2" t="n"/>
      <c r="P582" s="2" t="inlineStr">
        <is>
          <t>LISTED</t>
        </is>
      </c>
      <c r="Q582" s="2" t="n"/>
      <c r="R582" s="2" t="n"/>
      <c r="S582" s="2" t="n">
        <v>33.5906328601349</v>
      </c>
      <c r="T582" s="2" t="n">
        <v>-7.609160137717799</v>
      </c>
      <c r="U582" s="3" t="n">
        <v>5753</v>
      </c>
      <c r="V582" s="2" t="inlineStr"/>
      <c r="W582" s="6" t="inlineStr">
        <is>
          <t>https://yakeey.com/fr-ma/achat/biens/48441</t>
        </is>
      </c>
    </row>
    <row r="583">
      <c r="A583" t="inlineStr">
        <is>
          <t>48498</t>
        </is>
      </c>
      <c r="B583" t="inlineStr">
        <is>
          <t>APARTMENT</t>
        </is>
      </c>
      <c r="C583" t="inlineStr">
        <is>
          <t>Les Princesses</t>
        </is>
      </c>
      <c r="D583" t="inlineStr">
        <is>
          <t>Casablanca</t>
        </is>
      </c>
      <c r="E583" s="7" t="n">
        <v>2900000</v>
      </c>
      <c r="F583" s="8" t="n">
        <v>114</v>
      </c>
      <c r="G583" s="8" t="n"/>
      <c r="H583" s="8" t="n"/>
      <c r="I583" s="9">
        <f>IFERROR(E583/F583,"")</f>
        <v/>
      </c>
      <c r="J583" t="n">
        <v>3</v>
      </c>
      <c r="K583" t="n">
        <v>2</v>
      </c>
      <c r="P583" t="inlineStr">
        <is>
          <t>LISTED</t>
        </is>
      </c>
      <c r="S583" t="n">
        <v>33.57857504555916</v>
      </c>
      <c r="T583" t="n">
        <v>-7.649030742491345</v>
      </c>
      <c r="U583" s="7" t="n">
        <v>16683</v>
      </c>
      <c r="V583" t="inlineStr"/>
      <c r="W583" s="10" t="inlineStr">
        <is>
          <t>https://yakeey.com/fr-ma/achat/biens/48498</t>
        </is>
      </c>
    </row>
    <row r="584">
      <c r="A584" s="2" t="inlineStr">
        <is>
          <t>48618</t>
        </is>
      </c>
      <c r="B584" s="2" t="inlineStr">
        <is>
          <t>APARTMENT</t>
        </is>
      </c>
      <c r="C584" s="2" t="inlineStr">
        <is>
          <t>Bourgogne (Anfa)</t>
        </is>
      </c>
      <c r="D584" s="2" t="inlineStr">
        <is>
          <t>Casablanca</t>
        </is>
      </c>
      <c r="E584" s="3" t="n">
        <v>1900000</v>
      </c>
      <c r="F584" s="4" t="n">
        <v>87</v>
      </c>
      <c r="G584" s="4" t="n"/>
      <c r="H584" s="4" t="n"/>
      <c r="I584" s="5">
        <f>IFERROR(E584/F584,"")</f>
        <v/>
      </c>
      <c r="J584" s="2" t="n">
        <v>2</v>
      </c>
      <c r="K584" s="2" t="n">
        <v>2</v>
      </c>
      <c r="L584" s="2" t="n"/>
      <c r="M584" s="2" t="n"/>
      <c r="N584" s="2" t="n"/>
      <c r="O584" s="2" t="n"/>
      <c r="P584" s="2" t="inlineStr">
        <is>
          <t>LISTED</t>
        </is>
      </c>
      <c r="Q584" s="2" t="n"/>
      <c r="R584" s="2" t="n"/>
      <c r="S584" s="2" t="n">
        <v>33.59489230262347</v>
      </c>
      <c r="T584" s="2" t="n">
        <v>-7.639082696745983</v>
      </c>
      <c r="U584" s="3" t="n">
        <v>10930</v>
      </c>
      <c r="V584" s="2" t="inlineStr"/>
      <c r="W584" s="6" t="inlineStr">
        <is>
          <t>https://yakeey.com/fr-ma/achat/biens/48618</t>
        </is>
      </c>
    </row>
    <row r="585">
      <c r="A585" t="inlineStr">
        <is>
          <t>48627</t>
        </is>
      </c>
      <c r="B585" t="inlineStr">
        <is>
          <t>APARTMENT</t>
        </is>
      </c>
      <c r="C585" t="inlineStr">
        <is>
          <t>Tamaris2</t>
        </is>
      </c>
      <c r="D585" t="inlineStr">
        <is>
          <t>Dar Bouazza</t>
        </is>
      </c>
      <c r="E585" s="7" t="n">
        <v>2900000</v>
      </c>
      <c r="F585" s="8" t="n">
        <v>219</v>
      </c>
      <c r="G585" s="8" t="n"/>
      <c r="H585" s="8" t="n"/>
      <c r="I585" s="9">
        <f>IFERROR(E585/F585,"")</f>
        <v/>
      </c>
      <c r="J585" t="n">
        <v>2</v>
      </c>
      <c r="K585" t="n">
        <v>2</v>
      </c>
      <c r="P585" t="inlineStr">
        <is>
          <t>LISTED</t>
        </is>
      </c>
      <c r="S585" t="n">
        <v>33.51141894496427</v>
      </c>
      <c r="T585" t="n">
        <v>-7.844685402465659</v>
      </c>
      <c r="U585" s="7" t="n">
        <v>16683</v>
      </c>
      <c r="V585" t="inlineStr"/>
      <c r="W585" s="10" t="inlineStr">
        <is>
          <t>https://yakeey.com/fr-ma/achat/biens/48627</t>
        </is>
      </c>
    </row>
    <row r="586">
      <c r="A586" s="2" t="inlineStr">
        <is>
          <t>49086</t>
        </is>
      </c>
      <c r="B586" s="2" t="inlineStr">
        <is>
          <t>APARTMENT</t>
        </is>
      </c>
      <c r="C586" s="2" t="inlineStr">
        <is>
          <t>Les Princesses</t>
        </is>
      </c>
      <c r="D586" s="2" t="inlineStr">
        <is>
          <t>Casablanca</t>
        </is>
      </c>
      <c r="E586" s="3" t="n">
        <v>1950000</v>
      </c>
      <c r="F586" s="4" t="n">
        <v>105</v>
      </c>
      <c r="G586" s="4" t="n"/>
      <c r="H586" s="4" t="n"/>
      <c r="I586" s="5">
        <f>IFERROR(E586/F586,"")</f>
        <v/>
      </c>
      <c r="J586" s="2" t="n">
        <v>2</v>
      </c>
      <c r="K586" s="2" t="n">
        <v>2</v>
      </c>
      <c r="L586" s="2" t="n"/>
      <c r="M586" s="2" t="n"/>
      <c r="N586" s="2" t="n"/>
      <c r="O586" s="2" t="n"/>
      <c r="P586" s="2" t="inlineStr">
        <is>
          <t>LISTED</t>
        </is>
      </c>
      <c r="Q586" s="2" t="n"/>
      <c r="R586" s="2" t="n"/>
      <c r="S586" s="2" t="n">
        <v>33.5775735043057</v>
      </c>
      <c r="T586" s="2" t="n">
        <v>-7.64688739198342</v>
      </c>
      <c r="U586" s="3" t="n">
        <v>11218</v>
      </c>
      <c r="V586" s="2" t="inlineStr"/>
      <c r="W586" s="6" t="inlineStr">
        <is>
          <t>https://yakeey.com/fr-ma/achat/biens/49086</t>
        </is>
      </c>
    </row>
    <row r="587">
      <c r="A587" t="inlineStr">
        <is>
          <t>49196</t>
        </is>
      </c>
      <c r="B587" t="inlineStr">
        <is>
          <t>APARTMENT</t>
        </is>
      </c>
      <c r="C587" t="inlineStr">
        <is>
          <t>Bourgogne (Anfa)</t>
        </is>
      </c>
      <c r="D587" t="inlineStr">
        <is>
          <t>Casablanca</t>
        </is>
      </c>
      <c r="E587" s="7" t="n">
        <v>1700000</v>
      </c>
      <c r="F587" s="8" t="n">
        <v>98</v>
      </c>
      <c r="G587" s="8" t="n"/>
      <c r="H587" s="8" t="n"/>
      <c r="I587" s="9">
        <f>IFERROR(E587/F587,"")</f>
        <v/>
      </c>
      <c r="J587" t="n">
        <v>2</v>
      </c>
      <c r="K587" t="n">
        <v>2</v>
      </c>
      <c r="P587" t="inlineStr">
        <is>
          <t>LISTED</t>
        </is>
      </c>
      <c r="S587" t="n">
        <v>33.59321896265919</v>
      </c>
      <c r="T587" t="n">
        <v>-7.643888441379506</v>
      </c>
      <c r="U587" s="7" t="n">
        <v>9780</v>
      </c>
      <c r="V587" t="inlineStr"/>
      <c r="W587" s="10" t="inlineStr">
        <is>
          <t>https://yakeey.com/fr-ma/achat/biens/49196</t>
        </is>
      </c>
    </row>
    <row r="588">
      <c r="A588" s="2" t="inlineStr">
        <is>
          <t>49457</t>
        </is>
      </c>
      <c r="B588" s="2" t="inlineStr">
        <is>
          <t>APARTMENT</t>
        </is>
      </c>
      <c r="C588" s="2" t="inlineStr">
        <is>
          <t>Nouaceur</t>
        </is>
      </c>
      <c r="D588" s="2" t="inlineStr">
        <is>
          <t>Nouaceur</t>
        </is>
      </c>
      <c r="E588" s="3" t="n">
        <v>900000</v>
      </c>
      <c r="F588" s="4" t="n">
        <v>94</v>
      </c>
      <c r="G588" s="4" t="n"/>
      <c r="H588" s="4" t="n"/>
      <c r="I588" s="5">
        <f>IFERROR(E588/F588,"")</f>
        <v/>
      </c>
      <c r="J588" s="2" t="n">
        <v>2</v>
      </c>
      <c r="K588" s="2" t="n">
        <v>2</v>
      </c>
      <c r="L588" s="2" t="n"/>
      <c r="M588" s="2" t="n"/>
      <c r="N588" s="2" t="n"/>
      <c r="O588" s="2" t="n"/>
      <c r="P588" s="2" t="inlineStr">
        <is>
          <t>LISTED</t>
        </is>
      </c>
      <c r="Q588" s="2" t="n"/>
      <c r="R588" s="2" t="n"/>
      <c r="S588" s="2" t="n">
        <v>33.39096015719466</v>
      </c>
      <c r="T588" s="2" t="n">
        <v>-7.564357534170492</v>
      </c>
      <c r="U588" s="3" t="n">
        <v>5177</v>
      </c>
      <c r="V588" s="2" t="inlineStr"/>
      <c r="W588" s="6" t="inlineStr">
        <is>
          <t>https://yakeey.com/fr-ma/achat/biens/49457</t>
        </is>
      </c>
    </row>
    <row r="589">
      <c r="A589" t="inlineStr">
        <is>
          <t>49700</t>
        </is>
      </c>
      <c r="B589" t="inlineStr">
        <is>
          <t>APARTMENT</t>
        </is>
      </c>
      <c r="C589" t="inlineStr">
        <is>
          <t>Gauthier</t>
        </is>
      </c>
      <c r="D589" t="inlineStr">
        <is>
          <t>Casablanca</t>
        </is>
      </c>
      <c r="E589" s="7" t="n">
        <v>2200000</v>
      </c>
      <c r="F589" s="8" t="n">
        <v>162</v>
      </c>
      <c r="G589" s="8" t="n"/>
      <c r="H589" s="8" t="n"/>
      <c r="I589" s="9">
        <f>IFERROR(E589/F589,"")</f>
        <v/>
      </c>
      <c r="J589" t="n">
        <v>3</v>
      </c>
      <c r="K589" t="n">
        <v>2</v>
      </c>
      <c r="P589" t="inlineStr">
        <is>
          <t>LISTED</t>
        </is>
      </c>
      <c r="S589" t="n">
        <v>33.58991731683341</v>
      </c>
      <c r="T589" t="n">
        <v>-7.631460932321578</v>
      </c>
      <c r="U589" s="7" t="n">
        <v>12656</v>
      </c>
      <c r="V589" t="inlineStr"/>
      <c r="W589" s="10" t="inlineStr">
        <is>
          <t>https://yakeey.com/fr-ma/achat/biens/49700</t>
        </is>
      </c>
    </row>
    <row r="590">
      <c r="A590" s="2" t="inlineStr">
        <is>
          <t>50546</t>
        </is>
      </c>
      <c r="B590" s="2" t="inlineStr">
        <is>
          <t>APARTMENT</t>
        </is>
      </c>
      <c r="C590" s="2" t="inlineStr">
        <is>
          <t>Mandarouna</t>
        </is>
      </c>
      <c r="D590" s="2" t="inlineStr">
        <is>
          <t>Casablanca</t>
        </is>
      </c>
      <c r="E590" s="3" t="n">
        <v>1690000</v>
      </c>
      <c r="F590" s="4" t="n">
        <v>120</v>
      </c>
      <c r="G590" s="4" t="n"/>
      <c r="H590" s="4" t="n"/>
      <c r="I590" s="5">
        <f>IFERROR(E590/F590,"")</f>
        <v/>
      </c>
      <c r="J590" s="2" t="n">
        <v>3</v>
      </c>
      <c r="K590" s="2" t="n">
        <v>2</v>
      </c>
      <c r="L590" s="2" t="n"/>
      <c r="M590" s="2" t="n"/>
      <c r="N590" s="2" t="n"/>
      <c r="O590" s="2" t="n"/>
      <c r="P590" s="2" t="inlineStr">
        <is>
          <t>LISTED</t>
        </is>
      </c>
      <c r="Q590" s="2" t="n"/>
      <c r="R590" s="2" t="n"/>
      <c r="S590" s="2" t="n">
        <v>33.52841109853901</v>
      </c>
      <c r="T590" s="2" t="n">
        <v>-7.611299594367947</v>
      </c>
      <c r="U590" s="3" t="n">
        <v>9722</v>
      </c>
      <c r="V590" s="2" t="inlineStr"/>
      <c r="W590" s="6" t="inlineStr">
        <is>
          <t>https://yakeey.com/fr-ma/achat/biens/50546</t>
        </is>
      </c>
    </row>
    <row r="591">
      <c r="A591" t="inlineStr">
        <is>
          <t>50620</t>
        </is>
      </c>
      <c r="B591" t="inlineStr">
        <is>
          <t>APARTMENT</t>
        </is>
      </c>
      <c r="C591" t="inlineStr">
        <is>
          <t>Hay Mohammadi</t>
        </is>
      </c>
      <c r="D591" t="inlineStr">
        <is>
          <t>Casablanca</t>
        </is>
      </c>
      <c r="E591" s="7" t="n">
        <v>790000</v>
      </c>
      <c r="F591" s="8" t="n">
        <v>73</v>
      </c>
      <c r="G591" s="8" t="n"/>
      <c r="H591" s="8" t="n"/>
      <c r="I591" s="9">
        <f>IFERROR(E591/F591,"")</f>
        <v/>
      </c>
      <c r="J591" t="n">
        <v>3</v>
      </c>
      <c r="K591" t="n">
        <v>2</v>
      </c>
      <c r="P591" t="inlineStr">
        <is>
          <t>LISTED</t>
        </is>
      </c>
      <c r="S591" t="n">
        <v>33.58977900320203</v>
      </c>
      <c r="T591" t="n">
        <v>-7.564395796175803</v>
      </c>
      <c r="U591" s="7" t="n">
        <v>4544</v>
      </c>
      <c r="V591" t="inlineStr"/>
      <c r="W591" s="10" t="inlineStr">
        <is>
          <t>https://yakeey.com/fr-ma/achat/biens/50620</t>
        </is>
      </c>
    </row>
    <row r="592">
      <c r="A592" s="2" t="inlineStr">
        <is>
          <t>50662</t>
        </is>
      </c>
      <c r="B592" s="2" t="inlineStr">
        <is>
          <t>APARTMENT</t>
        </is>
      </c>
      <c r="C592" s="2" t="inlineStr">
        <is>
          <t>Oasis</t>
        </is>
      </c>
      <c r="D592" s="2" t="inlineStr">
        <is>
          <t>Casablanca</t>
        </is>
      </c>
      <c r="E592" s="3" t="n">
        <v>1900000</v>
      </c>
      <c r="F592" s="4" t="n">
        <v>116</v>
      </c>
      <c r="G592" s="4" t="n"/>
      <c r="H592" s="4" t="n"/>
      <c r="I592" s="5">
        <f>IFERROR(E592/F592,"")</f>
        <v/>
      </c>
      <c r="J592" s="2" t="n">
        <v>2</v>
      </c>
      <c r="K592" s="2" t="n">
        <v>2</v>
      </c>
      <c r="L592" s="2" t="n"/>
      <c r="M592" s="2" t="n"/>
      <c r="N592" s="2" t="n"/>
      <c r="O592" s="2" t="n"/>
      <c r="P592" s="2" t="inlineStr">
        <is>
          <t>LISTED</t>
        </is>
      </c>
      <c r="Q592" s="2" t="n"/>
      <c r="R592" s="2" t="n"/>
      <c r="S592" s="2" t="n">
        <v>33.55498419723993</v>
      </c>
      <c r="T592" s="2" t="n">
        <v>-7.632325395066012</v>
      </c>
      <c r="U592" s="3" t="n">
        <v>10930</v>
      </c>
      <c r="V592" s="2" t="inlineStr"/>
      <c r="W592" s="6" t="inlineStr">
        <is>
          <t>https://yakeey.com/fr-ma/achat/biens/50662</t>
        </is>
      </c>
    </row>
    <row r="593">
      <c r="A593" t="inlineStr">
        <is>
          <t>50781</t>
        </is>
      </c>
      <c r="B593" t="inlineStr">
        <is>
          <t>APARTMENT</t>
        </is>
      </c>
      <c r="C593" t="inlineStr">
        <is>
          <t>Derb Ghalef</t>
        </is>
      </c>
      <c r="D593" t="inlineStr">
        <is>
          <t>Casablanca</t>
        </is>
      </c>
      <c r="E593" s="7" t="n">
        <v>1850000</v>
      </c>
      <c r="F593" s="8" t="n">
        <v>153</v>
      </c>
      <c r="G593" s="8" t="n"/>
      <c r="H593" s="8" t="n"/>
      <c r="I593" s="9">
        <f>IFERROR(E593/F593,"")</f>
        <v/>
      </c>
      <c r="J593" t="n">
        <v>3</v>
      </c>
      <c r="K593" t="n">
        <v>2</v>
      </c>
      <c r="P593" t="inlineStr">
        <is>
          <t>LISTED</t>
        </is>
      </c>
      <c r="S593" t="n">
        <v>33.57090188351946</v>
      </c>
      <c r="T593" t="n">
        <v>-7.627724618978048</v>
      </c>
      <c r="U593" s="7" t="n">
        <v>10643</v>
      </c>
      <c r="V593" t="inlineStr"/>
      <c r="W593" s="10" t="inlineStr">
        <is>
          <t>https://yakeey.com/fr-ma/achat/biens/50781</t>
        </is>
      </c>
    </row>
    <row r="594">
      <c r="A594" s="2" t="inlineStr">
        <is>
          <t>50805</t>
        </is>
      </c>
      <c r="B594" s="2" t="inlineStr">
        <is>
          <t>APARTMENT</t>
        </is>
      </c>
      <c r="C594" s="2" t="inlineStr">
        <is>
          <t>Liberte</t>
        </is>
      </c>
      <c r="D594" s="2" t="inlineStr">
        <is>
          <t>Casablanca</t>
        </is>
      </c>
      <c r="E594" s="3" t="n">
        <v>1300000</v>
      </c>
      <c r="F594" s="4" t="n">
        <v>146</v>
      </c>
      <c r="G594" s="4" t="n"/>
      <c r="H594" s="4" t="n"/>
      <c r="I594" s="5">
        <f>IFERROR(E594/F594,"")</f>
        <v/>
      </c>
      <c r="J594" s="2" t="n">
        <v>3</v>
      </c>
      <c r="K594" s="2" t="n">
        <v>2</v>
      </c>
      <c r="L594" s="2" t="n"/>
      <c r="M594" s="2" t="n"/>
      <c r="N594" s="2" t="n"/>
      <c r="O594" s="2" t="n"/>
      <c r="P594" s="2" t="inlineStr">
        <is>
          <t>LISTED</t>
        </is>
      </c>
      <c r="Q594" s="2" t="n"/>
      <c r="R594" s="2" t="n"/>
      <c r="S594" s="2" t="n">
        <v>33.58802057561108</v>
      </c>
      <c r="T594" s="2" t="n">
        <v>-7.613719031763715</v>
      </c>
      <c r="U594" s="3" t="n">
        <v>7478</v>
      </c>
      <c r="V594" s="2" t="inlineStr"/>
      <c r="W594" s="6" t="inlineStr">
        <is>
          <t>https://yakeey.com/fr-ma/achat/biens/50805</t>
        </is>
      </c>
    </row>
    <row r="595">
      <c r="A595" t="inlineStr">
        <is>
          <t>50924</t>
        </is>
      </c>
      <c r="B595" t="inlineStr">
        <is>
          <t>APARTMENT</t>
        </is>
      </c>
      <c r="C595" t="inlineStr">
        <is>
          <t>Alsace Loraine</t>
        </is>
      </c>
      <c r="D595" t="inlineStr">
        <is>
          <t>Casablanca</t>
        </is>
      </c>
      <c r="E595" s="7" t="n">
        <v>1250000</v>
      </c>
      <c r="F595" s="8" t="n">
        <v>133</v>
      </c>
      <c r="G595" s="8" t="n"/>
      <c r="H595" s="8" t="n"/>
      <c r="I595" s="9">
        <f>IFERROR(E595/F595,"")</f>
        <v/>
      </c>
      <c r="J595" t="n">
        <v>3</v>
      </c>
      <c r="K595" t="n">
        <v>2</v>
      </c>
      <c r="P595" t="inlineStr">
        <is>
          <t>LISTED</t>
        </is>
      </c>
      <c r="S595" t="n">
        <v>33.58484928077678</v>
      </c>
      <c r="T595" t="n">
        <v>-7.618885661798847</v>
      </c>
      <c r="U595" s="7" t="n">
        <v>7191</v>
      </c>
      <c r="V595" t="inlineStr"/>
      <c r="W595" s="10" t="inlineStr">
        <is>
          <t>https://yakeey.com/fr-ma/achat/biens/50924</t>
        </is>
      </c>
    </row>
    <row r="596">
      <c r="A596" s="2" t="inlineStr">
        <is>
          <t>5097</t>
        </is>
      </c>
      <c r="B596" s="2" t="inlineStr">
        <is>
          <t>APARTMENT</t>
        </is>
      </c>
      <c r="C596" s="2" t="inlineStr">
        <is>
          <t>Bourgogne (Anfa)</t>
        </is>
      </c>
      <c r="D596" s="2" t="inlineStr">
        <is>
          <t>Casablanca</t>
        </is>
      </c>
      <c r="E596" s="3" t="n">
        <v>2400000</v>
      </c>
      <c r="F596" s="4" t="n">
        <v>134</v>
      </c>
      <c r="G596" s="4" t="n"/>
      <c r="H596" s="4" t="n"/>
      <c r="I596" s="5">
        <f>IFERROR(E596/F596,"")</f>
        <v/>
      </c>
      <c r="J596" s="2" t="n">
        <v>3</v>
      </c>
      <c r="K596" s="2" t="n">
        <v>2</v>
      </c>
      <c r="L596" s="2" t="n"/>
      <c r="M596" s="2" t="n"/>
      <c r="N596" s="2" t="n"/>
      <c r="O596" s="2" t="n"/>
      <c r="P596" s="2" t="inlineStr">
        <is>
          <t>LISTED</t>
        </is>
      </c>
      <c r="Q596" s="2" t="n"/>
      <c r="R596" s="2" t="n"/>
      <c r="S596" s="2" t="n">
        <v>33.60321945460883</v>
      </c>
      <c r="T596" s="2" t="n">
        <v>-7.646051063960584</v>
      </c>
      <c r="U596" s="3" t="n">
        <v>13807</v>
      </c>
      <c r="V596" s="2" t="inlineStr"/>
      <c r="W596" s="6" t="inlineStr">
        <is>
          <t>https://yakeey.com/fr-ma/achat/biens/5097</t>
        </is>
      </c>
    </row>
    <row r="597">
      <c r="A597" t="inlineStr">
        <is>
          <t>5099</t>
        </is>
      </c>
      <c r="B597" t="inlineStr">
        <is>
          <t>APARTMENT</t>
        </is>
      </c>
      <c r="C597" t="inlineStr">
        <is>
          <t>Inara</t>
        </is>
      </c>
      <c r="D597" t="inlineStr">
        <is>
          <t>Casablanca</t>
        </is>
      </c>
      <c r="E597" s="7" t="n">
        <v>840000</v>
      </c>
      <c r="F597" s="8" t="n">
        <v>84</v>
      </c>
      <c r="G597" s="8" t="n"/>
      <c r="H597" s="8" t="n"/>
      <c r="I597" s="9">
        <f>IFERROR(E597/F597,"")</f>
        <v/>
      </c>
      <c r="J597" t="n">
        <v>2</v>
      </c>
      <c r="K597" t="n">
        <v>1</v>
      </c>
      <c r="P597" t="inlineStr">
        <is>
          <t>LISTED</t>
        </is>
      </c>
      <c r="S597" t="n">
        <v>33.53623255052846</v>
      </c>
      <c r="T597" t="n">
        <v>-7.599578614883383</v>
      </c>
      <c r="U597" s="7" t="n">
        <v>4832</v>
      </c>
      <c r="V597" t="inlineStr"/>
      <c r="W597" s="10" t="inlineStr">
        <is>
          <t>https://yakeey.com/fr-ma/achat/biens/5099</t>
        </is>
      </c>
    </row>
    <row r="598">
      <c r="A598" s="2" t="inlineStr">
        <is>
          <t>51009</t>
        </is>
      </c>
      <c r="B598" s="2" t="inlineStr">
        <is>
          <t>APARTMENT</t>
        </is>
      </c>
      <c r="C598" s="2" t="inlineStr">
        <is>
          <t>Palmier (Maarif)</t>
        </is>
      </c>
      <c r="D598" s="2" t="inlineStr">
        <is>
          <t>Casablanca</t>
        </is>
      </c>
      <c r="E598" s="3" t="n">
        <v>2650000</v>
      </c>
      <c r="F598" s="4" t="n">
        <v>178</v>
      </c>
      <c r="G598" s="4" t="n"/>
      <c r="H598" s="4" t="n"/>
      <c r="I598" s="5">
        <f>IFERROR(E598/F598,"")</f>
        <v/>
      </c>
      <c r="J598" s="2" t="n">
        <v>3</v>
      </c>
      <c r="K598" s="2" t="n">
        <v>2</v>
      </c>
      <c r="L598" s="2" t="n"/>
      <c r="M598" s="2" t="n"/>
      <c r="N598" s="2" t="n"/>
      <c r="O598" s="2" t="n"/>
      <c r="P598" s="2" t="inlineStr">
        <is>
          <t>LISTED</t>
        </is>
      </c>
      <c r="Q598" s="2" t="n"/>
      <c r="R598" s="2" t="n"/>
      <c r="S598" s="2" t="n">
        <v>33.57885884157058</v>
      </c>
      <c r="T598" s="2" t="n">
        <v>-7.628737772121057</v>
      </c>
      <c r="U598" s="3" t="n">
        <v>15245</v>
      </c>
      <c r="V598" s="2" t="inlineStr"/>
      <c r="W598" s="6" t="inlineStr">
        <is>
          <t>https://yakeey.com/fr-ma/achat/biens/51009</t>
        </is>
      </c>
    </row>
    <row r="599">
      <c r="A599" t="inlineStr">
        <is>
          <t>51048</t>
        </is>
      </c>
      <c r="B599" t="inlineStr">
        <is>
          <t>APARTMENT</t>
        </is>
      </c>
      <c r="C599" t="inlineStr">
        <is>
          <t>Alsace Loraine</t>
        </is>
      </c>
      <c r="D599" t="inlineStr">
        <is>
          <t>Casablanca</t>
        </is>
      </c>
      <c r="E599" s="7" t="n">
        <v>2000000</v>
      </c>
      <c r="F599" s="8" t="n">
        <v>206</v>
      </c>
      <c r="G599" s="8" t="n"/>
      <c r="H599" s="8" t="n"/>
      <c r="I599" s="9">
        <f>IFERROR(E599/F599,"")</f>
        <v/>
      </c>
      <c r="J599" t="n">
        <v>4</v>
      </c>
      <c r="K599" t="n">
        <v>3</v>
      </c>
      <c r="P599" t="inlineStr">
        <is>
          <t>LISTED</t>
        </is>
      </c>
      <c r="S599" t="n">
        <v>33.58969305264439</v>
      </c>
      <c r="T599" t="n">
        <v>-7.620327589674111</v>
      </c>
      <c r="U599" s="7" t="n">
        <v>11506</v>
      </c>
      <c r="V599" t="inlineStr"/>
      <c r="W599" s="10" t="inlineStr">
        <is>
          <t>https://yakeey.com/fr-ma/achat/biens/51048</t>
        </is>
      </c>
    </row>
    <row r="600">
      <c r="A600" s="2" t="inlineStr">
        <is>
          <t>52451</t>
        </is>
      </c>
      <c r="B600" s="2" t="inlineStr">
        <is>
          <t>APARTMENT</t>
        </is>
      </c>
      <c r="C600" s="2" t="inlineStr">
        <is>
          <t>Ancienne Medina</t>
        </is>
      </c>
      <c r="D600" s="2" t="inlineStr">
        <is>
          <t>Casablanca</t>
        </is>
      </c>
      <c r="E600" s="3" t="n">
        <v>1350000</v>
      </c>
      <c r="F600" s="4" t="n">
        <v>88</v>
      </c>
      <c r="G600" s="4" t="n"/>
      <c r="H600" s="4" t="n"/>
      <c r="I600" s="5">
        <f>IFERROR(E600/F600,"")</f>
        <v/>
      </c>
      <c r="J600" s="2" t="n">
        <v>3</v>
      </c>
      <c r="K600" s="2" t="n">
        <v>2</v>
      </c>
      <c r="L600" s="2" t="n"/>
      <c r="M600" s="2" t="n"/>
      <c r="N600" s="2" t="n"/>
      <c r="O600" s="2" t="n"/>
      <c r="P600" s="2" t="inlineStr">
        <is>
          <t>LISTED</t>
        </is>
      </c>
      <c r="Q600" s="2" t="n"/>
      <c r="R600" s="2" t="n"/>
      <c r="S600" s="2" t="n">
        <v>33.60067908529484</v>
      </c>
      <c r="T600" s="2" t="n">
        <v>-7.632269044216685</v>
      </c>
      <c r="U600" s="3" t="n">
        <v>7766</v>
      </c>
      <c r="V600" s="2" t="inlineStr"/>
      <c r="W600" s="6" t="inlineStr">
        <is>
          <t>https://yakeey.com/fr-ma/achat/biens/52451</t>
        </is>
      </c>
    </row>
    <row r="601">
      <c r="A601" t="inlineStr">
        <is>
          <t>52957</t>
        </is>
      </c>
      <c r="B601" t="inlineStr">
        <is>
          <t>APARTMENT</t>
        </is>
      </c>
      <c r="C601" t="inlineStr">
        <is>
          <t>Mers Sultan</t>
        </is>
      </c>
      <c r="D601" t="inlineStr">
        <is>
          <t>Casablanca</t>
        </is>
      </c>
      <c r="E601" s="7" t="n">
        <v>1400000</v>
      </c>
      <c r="F601" s="8" t="n">
        <v>119</v>
      </c>
      <c r="G601" s="8" t="n"/>
      <c r="H601" s="8" t="n"/>
      <c r="I601" s="9">
        <f>IFERROR(E601/F601,"")</f>
        <v/>
      </c>
      <c r="J601" t="n">
        <v>3</v>
      </c>
      <c r="K601" t="n">
        <v>2</v>
      </c>
      <c r="P601" t="inlineStr">
        <is>
          <t>LISTED</t>
        </is>
      </c>
      <c r="S601" t="n">
        <v>33.58526604223187</v>
      </c>
      <c r="T601" t="n">
        <v>-7.6070949810727</v>
      </c>
      <c r="U601" s="7" t="n">
        <v>8054</v>
      </c>
      <c r="V601" t="inlineStr"/>
      <c r="W601" s="10" t="inlineStr">
        <is>
          <t>https://yakeey.com/fr-ma/achat/biens/52957</t>
        </is>
      </c>
    </row>
    <row r="602">
      <c r="A602" s="2" t="inlineStr">
        <is>
          <t>53185</t>
        </is>
      </c>
      <c r="B602" s="2" t="inlineStr">
        <is>
          <t>APARTMENT</t>
        </is>
      </c>
      <c r="C602" s="2" t="inlineStr">
        <is>
          <t>Les Princesses</t>
        </is>
      </c>
      <c r="D602" s="2" t="inlineStr">
        <is>
          <t>Casablanca</t>
        </is>
      </c>
      <c r="E602" s="3" t="n">
        <v>2400000</v>
      </c>
      <c r="F602" s="4" t="n">
        <v>121</v>
      </c>
      <c r="G602" s="4" t="n"/>
      <c r="H602" s="4" t="n"/>
      <c r="I602" s="5">
        <f>IFERROR(E602/F602,"")</f>
        <v/>
      </c>
      <c r="J602" s="2" t="n">
        <v>3</v>
      </c>
      <c r="K602" s="2" t="n">
        <v>2</v>
      </c>
      <c r="L602" s="2" t="n"/>
      <c r="M602" s="2" t="n"/>
      <c r="N602" s="2" t="n"/>
      <c r="O602" s="2" t="n"/>
      <c r="P602" s="2" t="inlineStr">
        <is>
          <t>LISTED</t>
        </is>
      </c>
      <c r="Q602" s="2" t="n"/>
      <c r="R602" s="2" t="n"/>
      <c r="S602" s="2" t="n">
        <v>33.57871628072884</v>
      </c>
      <c r="T602" s="2" t="n">
        <v>-7.64685540370134</v>
      </c>
      <c r="U602" s="3" t="n">
        <v>13807</v>
      </c>
      <c r="V602" s="2" t="inlineStr"/>
      <c r="W602" s="6" t="inlineStr">
        <is>
          <t>https://yakeey.com/fr-ma/achat/biens/53185</t>
        </is>
      </c>
    </row>
    <row r="603">
      <c r="A603" t="inlineStr">
        <is>
          <t>53818</t>
        </is>
      </c>
      <c r="B603" t="inlineStr">
        <is>
          <t>APARTMENT</t>
        </is>
      </c>
      <c r="C603" t="inlineStr">
        <is>
          <t>Hopitaux</t>
        </is>
      </c>
      <c r="D603" t="inlineStr">
        <is>
          <t>Casablanca</t>
        </is>
      </c>
      <c r="E603" s="7" t="n">
        <v>1145430</v>
      </c>
      <c r="F603" s="8" t="n">
        <v>111</v>
      </c>
      <c r="G603" s="8" t="n"/>
      <c r="H603" s="8" t="n"/>
      <c r="I603" s="9">
        <f>IFERROR(E603/F603,"")</f>
        <v/>
      </c>
      <c r="J603" t="n">
        <v>2</v>
      </c>
      <c r="K603" t="n">
        <v>1</v>
      </c>
      <c r="P603" t="inlineStr">
        <is>
          <t>LISTED</t>
        </is>
      </c>
      <c r="S603" t="n">
        <v>33.57329629811643</v>
      </c>
      <c r="T603" t="n">
        <v>-7.625087612123346</v>
      </c>
      <c r="U603" s="7" t="n">
        <v>6589</v>
      </c>
      <c r="V603" t="inlineStr"/>
      <c r="W603" s="10" t="inlineStr">
        <is>
          <t>https://yakeey.com/fr-ma/achat/biens/53818</t>
        </is>
      </c>
    </row>
    <row r="604">
      <c r="A604" s="2" t="inlineStr">
        <is>
          <t>53962</t>
        </is>
      </c>
      <c r="B604" s="2" t="inlineStr">
        <is>
          <t>APARTMENT</t>
        </is>
      </c>
      <c r="C604" s="2" t="inlineStr">
        <is>
          <t>Beausejour</t>
        </is>
      </c>
      <c r="D604" s="2" t="inlineStr">
        <is>
          <t>Casablanca</t>
        </is>
      </c>
      <c r="E604" s="3" t="n">
        <v>2500000</v>
      </c>
      <c r="F604" s="4" t="n">
        <v>208</v>
      </c>
      <c r="G604" s="4" t="n"/>
      <c r="H604" s="4" t="n"/>
      <c r="I604" s="5">
        <f>IFERROR(E604/F604,"")</f>
        <v/>
      </c>
      <c r="J604" s="2" t="n">
        <v>3</v>
      </c>
      <c r="K604" s="2" t="n">
        <v>2</v>
      </c>
      <c r="L604" s="2" t="n"/>
      <c r="M604" s="2" t="n"/>
      <c r="N604" s="2" t="n"/>
      <c r="O604" s="2" t="n"/>
      <c r="P604" s="2" t="inlineStr">
        <is>
          <t>LISTED</t>
        </is>
      </c>
      <c r="Q604" s="2" t="n"/>
      <c r="R604" s="2" t="n"/>
      <c r="S604" s="2" t="n">
        <v>33.57149812189365</v>
      </c>
      <c r="T604" s="2" t="n">
        <v>-7.648030962816854</v>
      </c>
      <c r="U604" s="3" t="n">
        <v>14382</v>
      </c>
      <c r="V604" s="2" t="inlineStr"/>
      <c r="W604" s="6" t="inlineStr">
        <is>
          <t>https://yakeey.com/fr-ma/achat/biens/53962</t>
        </is>
      </c>
    </row>
    <row r="605">
      <c r="A605" t="inlineStr">
        <is>
          <t>54318</t>
        </is>
      </c>
      <c r="B605" t="inlineStr">
        <is>
          <t>APARTMENT</t>
        </is>
      </c>
      <c r="C605" t="inlineStr">
        <is>
          <t>Sidi Maarouf</t>
        </is>
      </c>
      <c r="D605" t="inlineStr">
        <is>
          <t>Casablanca</t>
        </is>
      </c>
      <c r="E605" s="7" t="n">
        <v>1000000</v>
      </c>
      <c r="F605" s="8" t="n">
        <v>115</v>
      </c>
      <c r="G605" s="8" t="n"/>
      <c r="H605" s="8" t="n"/>
      <c r="I605" s="9">
        <f>IFERROR(E605/F605,"")</f>
        <v/>
      </c>
      <c r="J605" t="n">
        <v>2</v>
      </c>
      <c r="K605" t="n">
        <v>2</v>
      </c>
      <c r="P605" t="inlineStr">
        <is>
          <t>LISTED</t>
        </is>
      </c>
      <c r="S605" t="n">
        <v>33.51098903623507</v>
      </c>
      <c r="T605" t="n">
        <v>-7.651829406247598</v>
      </c>
      <c r="U605" s="7" t="n">
        <v>5753</v>
      </c>
      <c r="V605" t="inlineStr"/>
      <c r="W605" s="10" t="inlineStr">
        <is>
          <t>https://yakeey.com/fr-ma/achat/biens/54318</t>
        </is>
      </c>
    </row>
    <row r="606">
      <c r="A606" s="2" t="inlineStr">
        <is>
          <t>54727</t>
        </is>
      </c>
      <c r="B606" s="2" t="inlineStr">
        <is>
          <t>APARTMENT</t>
        </is>
      </c>
      <c r="C606" s="2" t="inlineStr">
        <is>
          <t>Bachkou</t>
        </is>
      </c>
      <c r="D606" s="2" t="inlineStr">
        <is>
          <t>Casablanca</t>
        </is>
      </c>
      <c r="E606" s="3" t="n">
        <v>1900000</v>
      </c>
      <c r="F606" s="4" t="n">
        <v>98</v>
      </c>
      <c r="G606" s="4" t="n"/>
      <c r="H606" s="4" t="n"/>
      <c r="I606" s="5">
        <f>IFERROR(E606/F606,"")</f>
        <v/>
      </c>
      <c r="J606" s="2" t="n">
        <v>3</v>
      </c>
      <c r="K606" s="2" t="n">
        <v>2</v>
      </c>
      <c r="L606" s="2" t="n"/>
      <c r="M606" s="2" t="n"/>
      <c r="N606" s="2" t="n"/>
      <c r="O606" s="2" t="n"/>
      <c r="P606" s="2" t="inlineStr">
        <is>
          <t>LISTED</t>
        </is>
      </c>
      <c r="Q606" s="2" t="n"/>
      <c r="R606" s="2" t="n"/>
      <c r="S606" s="2" t="n">
        <v>33.55642064503855</v>
      </c>
      <c r="T606" s="2" t="n">
        <v>-7.625390404650679</v>
      </c>
      <c r="U606" s="3" t="n">
        <v>10930</v>
      </c>
      <c r="V606" s="2" t="inlineStr"/>
      <c r="W606" s="6" t="inlineStr">
        <is>
          <t>https://yakeey.com/fr-ma/achat/biens/54727</t>
        </is>
      </c>
    </row>
    <row r="607">
      <c r="A607" t="inlineStr">
        <is>
          <t>54852</t>
        </is>
      </c>
      <c r="B607" t="inlineStr">
        <is>
          <t>APARTMENT</t>
        </is>
      </c>
      <c r="C607" t="inlineStr">
        <is>
          <t>Oasis</t>
        </is>
      </c>
      <c r="D607" t="inlineStr">
        <is>
          <t>Casablanca</t>
        </is>
      </c>
      <c r="E607" s="7" t="n">
        <v>1700000</v>
      </c>
      <c r="F607" s="8" t="n">
        <v>159</v>
      </c>
      <c r="G607" s="8" t="n"/>
      <c r="H607" s="8" t="n"/>
      <c r="I607" s="9">
        <f>IFERROR(E607/F607,"")</f>
        <v/>
      </c>
      <c r="J607" t="n">
        <v>3</v>
      </c>
      <c r="K607" t="n">
        <v>2</v>
      </c>
      <c r="P607" t="inlineStr">
        <is>
          <t>LISTED</t>
        </is>
      </c>
      <c r="S607" t="n">
        <v>33.5575664664151</v>
      </c>
      <c r="T607" t="n">
        <v>-7.636938384729145</v>
      </c>
      <c r="U607" s="7" t="n">
        <v>9780</v>
      </c>
      <c r="V607" t="inlineStr"/>
      <c r="W607" s="10" t="inlineStr">
        <is>
          <t>https://yakeey.com/fr-ma/achat/biens/54852</t>
        </is>
      </c>
    </row>
    <row r="608">
      <c r="A608" s="2" t="inlineStr">
        <is>
          <t>55018</t>
        </is>
      </c>
      <c r="B608" s="2" t="inlineStr">
        <is>
          <t>APARTMENT</t>
        </is>
      </c>
      <c r="C608" s="2" t="inlineStr">
        <is>
          <t>Maarif Extension</t>
        </is>
      </c>
      <c r="D608" s="2" t="inlineStr">
        <is>
          <t>Casablanca</t>
        </is>
      </c>
      <c r="E608" s="3" t="n">
        <v>2900000</v>
      </c>
      <c r="F608" s="4" t="n">
        <v>254</v>
      </c>
      <c r="G608" s="4" t="n"/>
      <c r="H608" s="4" t="n"/>
      <c r="I608" s="5">
        <f>IFERROR(E608/F608,"")</f>
        <v/>
      </c>
      <c r="J608" s="2" t="n">
        <v>4</v>
      </c>
      <c r="K608" s="2" t="n">
        <v>2</v>
      </c>
      <c r="L608" s="2" t="n"/>
      <c r="M608" s="2" t="n"/>
      <c r="N608" s="2" t="n"/>
      <c r="O608" s="2" t="n"/>
      <c r="P608" s="2" t="inlineStr">
        <is>
          <t>LISTED</t>
        </is>
      </c>
      <c r="Q608" s="2" t="n"/>
      <c r="R608" s="2" t="n"/>
      <c r="S608" s="2" t="n">
        <v>33.58641155662976</v>
      </c>
      <c r="T608" s="2" t="n">
        <v>-7.646876465778687</v>
      </c>
      <c r="U608" s="3" t="n">
        <v>16683</v>
      </c>
      <c r="V608" s="2" t="inlineStr"/>
      <c r="W608" s="6" t="inlineStr">
        <is>
          <t>https://yakeey.com/fr-ma/achat/biens/55018</t>
        </is>
      </c>
    </row>
    <row r="609">
      <c r="A609" t="inlineStr">
        <is>
          <t>55153</t>
        </is>
      </c>
      <c r="B609" t="inlineStr">
        <is>
          <t>APARTMENT</t>
        </is>
      </c>
      <c r="C609" t="inlineStr">
        <is>
          <t>Maarif Extension</t>
        </is>
      </c>
      <c r="D609" t="inlineStr">
        <is>
          <t>Casablanca</t>
        </is>
      </c>
      <c r="E609" s="7" t="n">
        <v>1500000</v>
      </c>
      <c r="F609" s="8" t="n">
        <v>120</v>
      </c>
      <c r="G609" s="8" t="n"/>
      <c r="H609" s="8" t="n"/>
      <c r="I609" s="9">
        <f>IFERROR(E609/F609,"")</f>
        <v/>
      </c>
      <c r="J609" t="n">
        <v>3</v>
      </c>
      <c r="K609" t="n">
        <v>2</v>
      </c>
      <c r="P609" t="inlineStr">
        <is>
          <t>LISTED</t>
        </is>
      </c>
      <c r="S609" t="n">
        <v>33.57860472183289</v>
      </c>
      <c r="T609" t="n">
        <v>-7.643189446794028</v>
      </c>
      <c r="U609" s="7" t="n">
        <v>8629</v>
      </c>
      <c r="V609" t="inlineStr"/>
      <c r="W609" s="10" t="inlineStr">
        <is>
          <t>https://yakeey.com/fr-ma/achat/biens/55153</t>
        </is>
      </c>
    </row>
    <row r="610">
      <c r="A610" s="2" t="inlineStr">
        <is>
          <t>55157</t>
        </is>
      </c>
      <c r="B610" s="2" t="inlineStr">
        <is>
          <t>APARTMENT</t>
        </is>
      </c>
      <c r="C610" s="2" t="inlineStr">
        <is>
          <t>Azhar Oulfa 2</t>
        </is>
      </c>
      <c r="D610" s="2" t="inlineStr">
        <is>
          <t>Casablanca</t>
        </is>
      </c>
      <c r="E610" s="3" t="n">
        <v>900000</v>
      </c>
      <c r="F610" s="4" t="n">
        <v>74</v>
      </c>
      <c r="G610" s="4" t="n"/>
      <c r="H610" s="4" t="n"/>
      <c r="I610" s="5">
        <f>IFERROR(E610/F610,"")</f>
        <v/>
      </c>
      <c r="J610" s="2" t="n">
        <v>3</v>
      </c>
      <c r="K610" s="2" t="n">
        <v>3</v>
      </c>
      <c r="L610" s="2" t="n"/>
      <c r="M610" s="2" t="n"/>
      <c r="N610" s="2" t="n"/>
      <c r="O610" s="2" t="n"/>
      <c r="P610" s="2" t="inlineStr">
        <is>
          <t>LISTED</t>
        </is>
      </c>
      <c r="Q610" s="2" t="n"/>
      <c r="R610" s="2" t="n"/>
      <c r="S610" s="2" t="n">
        <v>33.54750030945301</v>
      </c>
      <c r="T610" s="2" t="n">
        <v>-7.704941293625336</v>
      </c>
      <c r="U610" s="3" t="n">
        <v>5177</v>
      </c>
      <c r="V610" s="2" t="inlineStr"/>
      <c r="W610" s="6" t="inlineStr">
        <is>
          <t>https://yakeey.com/fr-ma/achat/biens/55157</t>
        </is>
      </c>
    </row>
    <row r="611">
      <c r="A611" t="inlineStr">
        <is>
          <t>55955</t>
        </is>
      </c>
      <c r="B611" t="inlineStr">
        <is>
          <t>APARTMENT</t>
        </is>
      </c>
      <c r="C611" t="inlineStr">
        <is>
          <t>Nassim</t>
        </is>
      </c>
      <c r="D611" t="inlineStr">
        <is>
          <t>Casablanca</t>
        </is>
      </c>
      <c r="E611" s="7" t="n">
        <v>780000</v>
      </c>
      <c r="F611" s="8" t="n">
        <v>69</v>
      </c>
      <c r="G611" s="8" t="n"/>
      <c r="H611" s="8" t="n"/>
      <c r="I611" s="9">
        <f>IFERROR(E611/F611,"")</f>
        <v/>
      </c>
      <c r="J611" t="n">
        <v>2</v>
      </c>
      <c r="K611" t="n">
        <v>1</v>
      </c>
      <c r="P611" t="inlineStr">
        <is>
          <t>LISTED</t>
        </is>
      </c>
      <c r="S611" t="n">
        <v>33.51657789920062</v>
      </c>
      <c r="T611" t="n">
        <v>-7.658342804896604</v>
      </c>
      <c r="U611" s="7" t="n">
        <v>4487</v>
      </c>
      <c r="V611" t="inlineStr"/>
      <c r="W611" s="10" t="inlineStr">
        <is>
          <t>https://yakeey.com/fr-ma/achat/biens/55955</t>
        </is>
      </c>
    </row>
    <row r="612">
      <c r="A612" s="2" t="inlineStr">
        <is>
          <t>56020</t>
        </is>
      </c>
      <c r="B612" s="2" t="inlineStr">
        <is>
          <t>APARTMENT</t>
        </is>
      </c>
      <c r="C612" s="2" t="inlineStr">
        <is>
          <t>Belvedere (Roches Noires)</t>
        </is>
      </c>
      <c r="D612" s="2" t="inlineStr">
        <is>
          <t>Casablanca</t>
        </is>
      </c>
      <c r="E612" s="3" t="n">
        <v>1350000</v>
      </c>
      <c r="F612" s="4" t="n">
        <v>128</v>
      </c>
      <c r="G612" s="4" t="n"/>
      <c r="H612" s="4" t="n"/>
      <c r="I612" s="5">
        <f>IFERROR(E612/F612,"")</f>
        <v/>
      </c>
      <c r="J612" s="2" t="n">
        <v>3</v>
      </c>
      <c r="K612" s="2" t="n">
        <v>1</v>
      </c>
      <c r="L612" s="2" t="n"/>
      <c r="M612" s="2" t="n"/>
      <c r="N612" s="2" t="n"/>
      <c r="O612" s="2" t="n"/>
      <c r="P612" s="2" t="inlineStr">
        <is>
          <t>LISTED</t>
        </is>
      </c>
      <c r="Q612" s="2" t="n"/>
      <c r="R612" s="2" t="n"/>
      <c r="S612" s="2" t="n">
        <v>33.59377353163491</v>
      </c>
      <c r="T612" s="2" t="n">
        <v>-7.597767067258989</v>
      </c>
      <c r="U612" s="3" t="n">
        <v>7766</v>
      </c>
      <c r="V612" s="2" t="inlineStr"/>
      <c r="W612" s="6" t="inlineStr">
        <is>
          <t>https://yakeey.com/fr-ma/achat/biens/56020</t>
        </is>
      </c>
    </row>
    <row r="613">
      <c r="A613" t="inlineStr">
        <is>
          <t>56298</t>
        </is>
      </c>
      <c r="B613" t="inlineStr">
        <is>
          <t>APARTMENT</t>
        </is>
      </c>
      <c r="C613" t="inlineStr">
        <is>
          <t>Beausejour</t>
        </is>
      </c>
      <c r="D613" t="inlineStr">
        <is>
          <t>Casablanca</t>
        </is>
      </c>
      <c r="E613" s="7" t="n">
        <v>1190000</v>
      </c>
      <c r="F613" s="8" t="n">
        <v>128</v>
      </c>
      <c r="G613" s="8" t="n"/>
      <c r="H613" s="8" t="n"/>
      <c r="I613" s="9">
        <f>IFERROR(E613/F613,"")</f>
        <v/>
      </c>
      <c r="J613" t="n">
        <v>3</v>
      </c>
      <c r="K613" t="n">
        <v>1</v>
      </c>
      <c r="P613" t="inlineStr">
        <is>
          <t>SOLD_OUT</t>
        </is>
      </c>
      <c r="S613" t="n">
        <v>33.56864434397911</v>
      </c>
      <c r="T613" t="n">
        <v>-7.650010660583405</v>
      </c>
      <c r="U613" s="7" t="n">
        <v>6846</v>
      </c>
      <c r="V613" t="inlineStr"/>
      <c r="W613" s="10" t="inlineStr">
        <is>
          <t>https://yakeey.com/fr-ma/achat/biens/56298</t>
        </is>
      </c>
    </row>
    <row r="614">
      <c r="A614" s="2" t="inlineStr">
        <is>
          <t>57463</t>
        </is>
      </c>
      <c r="B614" s="2" t="inlineStr">
        <is>
          <t>APARTMENT</t>
        </is>
      </c>
      <c r="C614" s="2" t="inlineStr">
        <is>
          <t>Nouaceur</t>
        </is>
      </c>
      <c r="D614" s="2" t="inlineStr">
        <is>
          <t>Casablanca</t>
        </is>
      </c>
      <c r="E614" s="3" t="n">
        <v>800000</v>
      </c>
      <c r="F614" s="4" t="n">
        <v>82</v>
      </c>
      <c r="G614" s="4" t="n"/>
      <c r="H614" s="4" t="n"/>
      <c r="I614" s="5">
        <f>IFERROR(E614/F614,"")</f>
        <v/>
      </c>
      <c r="J614" s="2" t="n">
        <v>2</v>
      </c>
      <c r="K614" s="2" t="n"/>
      <c r="L614" s="2" t="n"/>
      <c r="M614" s="2" t="n"/>
      <c r="N614" s="2" t="n"/>
      <c r="O614" s="2" t="n"/>
      <c r="P614" s="2" t="inlineStr">
        <is>
          <t>LISTED</t>
        </is>
      </c>
      <c r="Q614" s="2" t="n"/>
      <c r="R614" s="2" t="n"/>
      <c r="S614" s="2" t="n">
        <v>33.39131967778179</v>
      </c>
      <c r="T614" s="2" t="n">
        <v>-7.563549871431024</v>
      </c>
      <c r="U614" s="3" t="n">
        <v>4602</v>
      </c>
      <c r="V614" s="2" t="inlineStr"/>
      <c r="W614" s="6" t="inlineStr">
        <is>
          <t>https://yakeey.com/fr-ma/achat/biens/57463</t>
        </is>
      </c>
    </row>
    <row r="615">
      <c r="A615" t="inlineStr">
        <is>
          <t>57563</t>
        </is>
      </c>
      <c r="B615" t="inlineStr">
        <is>
          <t>APARTMENT</t>
        </is>
      </c>
      <c r="C615" t="inlineStr">
        <is>
          <t>Derb Ghalef</t>
        </is>
      </c>
      <c r="D615" t="inlineStr">
        <is>
          <t>Casablanca</t>
        </is>
      </c>
      <c r="E615" s="7" t="n">
        <v>1250000</v>
      </c>
      <c r="F615" s="8" t="n">
        <v>108</v>
      </c>
      <c r="G615" s="8" t="n"/>
      <c r="H615" s="8" t="n"/>
      <c r="I615" s="9">
        <f>IFERROR(E615/F615,"")</f>
        <v/>
      </c>
      <c r="J615" t="n">
        <v>3</v>
      </c>
      <c r="K615" t="n">
        <v>1</v>
      </c>
      <c r="P615" t="inlineStr">
        <is>
          <t>LISTED</t>
        </is>
      </c>
      <c r="S615" t="n">
        <v>33.57442055959211</v>
      </c>
      <c r="T615" t="n">
        <v>-7.626383965416974</v>
      </c>
      <c r="U615" s="7" t="n">
        <v>7191</v>
      </c>
      <c r="V615" t="inlineStr"/>
      <c r="W615" s="10" t="inlineStr">
        <is>
          <t>https://yakeey.com/fr-ma/achat/biens/57563</t>
        </is>
      </c>
    </row>
    <row r="616">
      <c r="A616" s="2" t="inlineStr">
        <is>
          <t>57677</t>
        </is>
      </c>
      <c r="B616" s="2" t="inlineStr">
        <is>
          <t>APARTMENT</t>
        </is>
      </c>
      <c r="C616" s="2" t="inlineStr">
        <is>
          <t>Beausejour</t>
        </is>
      </c>
      <c r="D616" s="2" t="inlineStr">
        <is>
          <t>Casablanca</t>
        </is>
      </c>
      <c r="E616" s="3" t="n">
        <v>1135640</v>
      </c>
      <c r="F616" s="4" t="n">
        <v>87</v>
      </c>
      <c r="G616" s="4" t="n"/>
      <c r="H616" s="4" t="n"/>
      <c r="I616" s="5">
        <f>IFERROR(E616/F616,"")</f>
        <v/>
      </c>
      <c r="J616" s="2" t="n">
        <v>2</v>
      </c>
      <c r="K616" s="2" t="n">
        <v>1</v>
      </c>
      <c r="L616" s="2" t="n"/>
      <c r="M616" s="2" t="n"/>
      <c r="N616" s="2" t="n"/>
      <c r="O616" s="2" t="n"/>
      <c r="P616" s="2" t="inlineStr">
        <is>
          <t>LISTED</t>
        </is>
      </c>
      <c r="Q616" s="2" t="n"/>
      <c r="R616" s="2" t="n"/>
      <c r="S616" s="2" t="n">
        <v>33.56746109104254</v>
      </c>
      <c r="T616" s="2" t="n">
        <v>-7.649335290894078</v>
      </c>
      <c r="U616" s="3" t="n">
        <v>6533</v>
      </c>
      <c r="V616" s="2" t="inlineStr"/>
      <c r="W616" s="6" t="inlineStr">
        <is>
          <t>https://yakeey.com/fr-ma/achat/biens/57677</t>
        </is>
      </c>
    </row>
    <row r="617">
      <c r="A617" t="inlineStr">
        <is>
          <t>57857</t>
        </is>
      </c>
      <c r="B617" t="inlineStr">
        <is>
          <t>APARTMENT</t>
        </is>
      </c>
      <c r="C617" t="inlineStr">
        <is>
          <t>Sidi Bernoussi</t>
        </is>
      </c>
      <c r="D617" t="inlineStr">
        <is>
          <t>Casablanca</t>
        </is>
      </c>
      <c r="E617" s="7" t="n">
        <v>695000</v>
      </c>
      <c r="F617" s="8" t="n">
        <v>83</v>
      </c>
      <c r="G617" s="8" t="n"/>
      <c r="H617" s="8" t="n"/>
      <c r="I617" s="9">
        <f>IFERROR(E617/F617,"")</f>
        <v/>
      </c>
      <c r="J617" t="n">
        <v>2</v>
      </c>
      <c r="K617" t="n">
        <v>1</v>
      </c>
      <c r="P617" t="inlineStr">
        <is>
          <t>LISTED</t>
        </is>
      </c>
      <c r="S617" t="n">
        <v>33.61742855671141</v>
      </c>
      <c r="T617" t="n">
        <v>-7.499119248083086</v>
      </c>
      <c r="U617" s="7" t="n">
        <v>3998</v>
      </c>
      <c r="V617" t="inlineStr"/>
      <c r="W617" s="10" t="inlineStr">
        <is>
          <t>https://yakeey.com/fr-ma/achat/biens/57857</t>
        </is>
      </c>
    </row>
    <row r="618">
      <c r="A618" s="2" t="inlineStr">
        <is>
          <t>57963</t>
        </is>
      </c>
      <c r="B618" s="2" t="inlineStr">
        <is>
          <t>APARTMENT</t>
        </is>
      </c>
      <c r="C618" s="2" t="inlineStr">
        <is>
          <t>Belvedere (Roches Noires)</t>
        </is>
      </c>
      <c r="D618" s="2" t="inlineStr">
        <is>
          <t>Casablanca</t>
        </is>
      </c>
      <c r="E618" s="3" t="n">
        <v>1300000</v>
      </c>
      <c r="F618" s="4" t="n">
        <v>114</v>
      </c>
      <c r="G618" s="4" t="n"/>
      <c r="H618" s="4" t="n"/>
      <c r="I618" s="5">
        <f>IFERROR(E618/F618,"")</f>
        <v/>
      </c>
      <c r="J618" s="2" t="n">
        <v>2</v>
      </c>
      <c r="K618" s="2" t="n">
        <v>1</v>
      </c>
      <c r="L618" s="2" t="n"/>
      <c r="M618" s="2" t="n"/>
      <c r="N618" s="2" t="n"/>
      <c r="O618" s="2" t="n"/>
      <c r="P618" s="2" t="inlineStr">
        <is>
          <t>LISTED</t>
        </is>
      </c>
      <c r="Q618" s="2" t="n"/>
      <c r="R618" s="2" t="n"/>
      <c r="S618" s="2" t="n">
        <v>33.59386289329517</v>
      </c>
      <c r="T618" s="2" t="n">
        <v>-7.599679564381536</v>
      </c>
      <c r="U618" s="3" t="n">
        <v>7478</v>
      </c>
      <c r="V618" s="2" t="inlineStr"/>
      <c r="W618" s="6" t="inlineStr">
        <is>
          <t>https://yakeey.com/fr-ma/achat/biens/57963</t>
        </is>
      </c>
    </row>
    <row r="619">
      <c r="A619" t="inlineStr">
        <is>
          <t>58122</t>
        </is>
      </c>
      <c r="B619" t="inlineStr">
        <is>
          <t>APARTMENT</t>
        </is>
      </c>
      <c r="C619" t="inlineStr">
        <is>
          <t>Gauthier</t>
        </is>
      </c>
      <c r="D619" t="inlineStr">
        <is>
          <t>Casablanca</t>
        </is>
      </c>
      <c r="E619" s="7" t="n">
        <v>3950000</v>
      </c>
      <c r="F619" s="8" t="n">
        <v>285</v>
      </c>
      <c r="G619" s="8" t="n"/>
      <c r="H619" s="8" t="n"/>
      <c r="I619" s="9">
        <f>IFERROR(E619/F619,"")</f>
        <v/>
      </c>
      <c r="J619" t="n">
        <v>3</v>
      </c>
      <c r="K619" t="n">
        <v>2</v>
      </c>
      <c r="P619" t="inlineStr">
        <is>
          <t>LISTED</t>
        </is>
      </c>
      <c r="S619" t="n">
        <v>33.59143347873254</v>
      </c>
      <c r="T619" t="n">
        <v>-7.632334557803981</v>
      </c>
      <c r="U619" s="7" t="n">
        <v>22724</v>
      </c>
      <c r="V619" t="inlineStr"/>
      <c r="W619" s="10" t="inlineStr">
        <is>
          <t>https://yakeey.com/fr-ma/achat/biens/58122</t>
        </is>
      </c>
    </row>
    <row r="620">
      <c r="A620" s="2" t="inlineStr">
        <is>
          <t>58156</t>
        </is>
      </c>
      <c r="B620" s="2" t="inlineStr">
        <is>
          <t>APARTMENT</t>
        </is>
      </c>
      <c r="C620" s="2" t="inlineStr">
        <is>
          <t>Derb Omar</t>
        </is>
      </c>
      <c r="D620" s="2" t="inlineStr">
        <is>
          <t>Casablanca</t>
        </is>
      </c>
      <c r="E620" s="3" t="n">
        <v>1428000</v>
      </c>
      <c r="F620" s="4" t="n">
        <v>119</v>
      </c>
      <c r="G620" s="4" t="n"/>
      <c r="H620" s="4" t="n"/>
      <c r="I620" s="5">
        <f>IFERROR(E620/F620,"")</f>
        <v/>
      </c>
      <c r="J620" s="2" t="n">
        <v>4</v>
      </c>
      <c r="K620" s="2" t="n">
        <v>2</v>
      </c>
      <c r="L620" s="2" t="n"/>
      <c r="M620" s="2" t="n"/>
      <c r="N620" s="2" t="n"/>
      <c r="O620" s="2" t="n"/>
      <c r="P620" s="2" t="inlineStr">
        <is>
          <t>LISTED</t>
        </is>
      </c>
      <c r="Q620" s="2" t="n"/>
      <c r="R620" s="2" t="n"/>
      <c r="S620" s="2" t="n">
        <v>33.59111690881546</v>
      </c>
      <c r="T620" s="2" t="n">
        <v>-7.610053523351509</v>
      </c>
      <c r="U620" s="3" t="n">
        <v>8215</v>
      </c>
      <c r="V620" s="2" t="inlineStr"/>
      <c r="W620" s="6" t="inlineStr">
        <is>
          <t>https://yakeey.com/fr-ma/achat/biens/58156</t>
        </is>
      </c>
    </row>
    <row r="621">
      <c r="A621" t="inlineStr">
        <is>
          <t>58867</t>
        </is>
      </c>
      <c r="B621" t="inlineStr">
        <is>
          <t>APARTMENT</t>
        </is>
      </c>
      <c r="C621" t="inlineStr">
        <is>
          <t>Racine</t>
        </is>
      </c>
      <c r="D621" t="inlineStr">
        <is>
          <t>Casablanca</t>
        </is>
      </c>
      <c r="E621" s="7" t="n">
        <v>3200000</v>
      </c>
      <c r="F621" s="8" t="n">
        <v>178</v>
      </c>
      <c r="G621" s="8" t="n"/>
      <c r="H621" s="8" t="n"/>
      <c r="I621" s="9">
        <f>IFERROR(E621/F621,"")</f>
        <v/>
      </c>
      <c r="J621" t="n">
        <v>3</v>
      </c>
      <c r="K621" t="n">
        <v>3</v>
      </c>
      <c r="P621" t="inlineStr">
        <is>
          <t>LISTED</t>
        </is>
      </c>
      <c r="S621" t="n">
        <v>33.58790834717198</v>
      </c>
      <c r="T621" t="n">
        <v>-7.643020576452253</v>
      </c>
      <c r="U621" s="7" t="n">
        <v>18409</v>
      </c>
      <c r="V621" t="inlineStr"/>
      <c r="W621" s="10" t="inlineStr">
        <is>
          <t>https://yakeey.com/fr-ma/achat/biens/58867</t>
        </is>
      </c>
    </row>
    <row r="622">
      <c r="A622" s="2" t="inlineStr">
        <is>
          <t>58918</t>
        </is>
      </c>
      <c r="B622" s="2" t="inlineStr">
        <is>
          <t>APARTMENT</t>
        </is>
      </c>
      <c r="C622" s="2" t="inlineStr">
        <is>
          <t>Sidi Moumen</t>
        </is>
      </c>
      <c r="D622" s="2" t="inlineStr">
        <is>
          <t>Casablanca</t>
        </is>
      </c>
      <c r="E622" s="3" t="n">
        <v>575000</v>
      </c>
      <c r="F622" s="4" t="n">
        <v>72</v>
      </c>
      <c r="G622" s="4" t="n"/>
      <c r="H622" s="4" t="n"/>
      <c r="I622" s="5">
        <f>IFERROR(E622/F622,"")</f>
        <v/>
      </c>
      <c r="J622" s="2" t="n">
        <v>3</v>
      </c>
      <c r="K622" s="2" t="n">
        <v>1</v>
      </c>
      <c r="L622" s="2" t="n"/>
      <c r="M622" s="2" t="n"/>
      <c r="N622" s="2" t="n"/>
      <c r="O622" s="2" t="n"/>
      <c r="P622" s="2" t="inlineStr">
        <is>
          <t>LISTED</t>
        </is>
      </c>
      <c r="Q622" s="2" t="n"/>
      <c r="R622" s="2" t="n"/>
      <c r="S622" s="2" t="n">
        <v>33.58406794493</v>
      </c>
      <c r="T622" s="2" t="n">
        <v>-7.477853372286773</v>
      </c>
      <c r="U622" s="3" t="n">
        <v>3308</v>
      </c>
      <c r="V622" s="2" t="inlineStr"/>
      <c r="W622" s="6" t="inlineStr">
        <is>
          <t>https://yakeey.com/fr-ma/achat/biens/58918</t>
        </is>
      </c>
    </row>
    <row r="623">
      <c r="A623" t="inlineStr">
        <is>
          <t>58992</t>
        </is>
      </c>
      <c r="B623" t="inlineStr">
        <is>
          <t>APARTMENT</t>
        </is>
      </c>
      <c r="C623" t="inlineStr">
        <is>
          <t>Ain Diab</t>
        </is>
      </c>
      <c r="D623" t="inlineStr">
        <is>
          <t>Casablanca</t>
        </is>
      </c>
      <c r="E623" s="7" t="n">
        <v>3700000</v>
      </c>
      <c r="F623" s="8" t="n">
        <v>117</v>
      </c>
      <c r="G623" s="8" t="n"/>
      <c r="H623" s="8" t="n"/>
      <c r="I623" s="9">
        <f>IFERROR(E623/F623,"")</f>
        <v/>
      </c>
      <c r="J623" t="n">
        <v>2</v>
      </c>
      <c r="P623" t="inlineStr">
        <is>
          <t>LISTED</t>
        </is>
      </c>
      <c r="S623" t="n">
        <v>33.59752651774486</v>
      </c>
      <c r="T623" t="n">
        <v>-7.66462492114799</v>
      </c>
      <c r="U623" s="7" t="n">
        <v>21286</v>
      </c>
      <c r="V623" t="inlineStr"/>
      <c r="W623" s="10" t="inlineStr">
        <is>
          <t>https://yakeey.com/fr-ma/achat/biens/58992</t>
        </is>
      </c>
    </row>
    <row r="624">
      <c r="A624" s="2" t="inlineStr">
        <is>
          <t>59242</t>
        </is>
      </c>
      <c r="B624" s="2" t="inlineStr">
        <is>
          <t>APARTMENT</t>
        </is>
      </c>
      <c r="C624" s="2" t="inlineStr">
        <is>
          <t>Derb Omar</t>
        </is>
      </c>
      <c r="D624" s="2" t="inlineStr">
        <is>
          <t>Casablanca</t>
        </is>
      </c>
      <c r="E624" s="3" t="n">
        <v>2000000</v>
      </c>
      <c r="F624" s="4" t="n">
        <v>115</v>
      </c>
      <c r="G624" s="4" t="n"/>
      <c r="H624" s="4" t="n"/>
      <c r="I624" s="5">
        <f>IFERROR(E624/F624,"")</f>
        <v/>
      </c>
      <c r="J624" s="2" t="n">
        <v>2</v>
      </c>
      <c r="K624" s="2" t="n">
        <v>2</v>
      </c>
      <c r="L624" s="2" t="n"/>
      <c r="M624" s="2" t="n"/>
      <c r="N624" s="2" t="n"/>
      <c r="O624" s="2" t="n"/>
      <c r="P624" s="2" t="inlineStr">
        <is>
          <t>LISTED</t>
        </is>
      </c>
      <c r="Q624" s="2" t="n"/>
      <c r="R624" s="2" t="n"/>
      <c r="S624" s="2" t="n">
        <v>33.58839935280042</v>
      </c>
      <c r="T624" s="2" t="n">
        <v>-7.60986984653657</v>
      </c>
      <c r="U624" s="3" t="n">
        <v>11506</v>
      </c>
      <c r="V624" s="2" t="inlineStr"/>
      <c r="W624" s="6" t="inlineStr">
        <is>
          <t>https://yakeey.com/fr-ma/achat/biens/59242</t>
        </is>
      </c>
    </row>
    <row r="625">
      <c r="A625" t="inlineStr">
        <is>
          <t>5934</t>
        </is>
      </c>
      <c r="B625" t="inlineStr">
        <is>
          <t>APARTMENT</t>
        </is>
      </c>
      <c r="C625" t="inlineStr">
        <is>
          <t>Al Azhar</t>
        </is>
      </c>
      <c r="D625" t="inlineStr">
        <is>
          <t>Casablanca</t>
        </is>
      </c>
      <c r="E625" s="7" t="n">
        <v>1200000</v>
      </c>
      <c r="F625" s="8" t="n">
        <v>99</v>
      </c>
      <c r="G625" s="8" t="n"/>
      <c r="H625" s="8" t="n"/>
      <c r="I625" s="9">
        <f>IFERROR(E625/F625,"")</f>
        <v/>
      </c>
      <c r="J625" t="n">
        <v>4</v>
      </c>
      <c r="K625" t="n">
        <v>2</v>
      </c>
      <c r="P625" t="inlineStr">
        <is>
          <t>LISTED</t>
        </is>
      </c>
      <c r="S625" t="n">
        <v>33.60856147269103</v>
      </c>
      <c r="T625" t="n">
        <v>-7.487159703414782</v>
      </c>
      <c r="U625" s="7" t="n">
        <v>6903</v>
      </c>
      <c r="V625" t="inlineStr"/>
      <c r="W625" s="10" t="inlineStr">
        <is>
          <t>https://yakeey.com/fr-ma/achat/biens/5934</t>
        </is>
      </c>
    </row>
    <row r="626">
      <c r="A626" s="2" t="inlineStr">
        <is>
          <t>59493</t>
        </is>
      </c>
      <c r="B626" s="2" t="inlineStr">
        <is>
          <t>APARTMENT</t>
        </is>
      </c>
      <c r="C626" s="2" t="inlineStr">
        <is>
          <t>Hopitaux</t>
        </is>
      </c>
      <c r="D626" s="2" t="inlineStr">
        <is>
          <t>Casablanca</t>
        </is>
      </c>
      <c r="E626" s="3" t="n">
        <v>2550000</v>
      </c>
      <c r="F626" s="4" t="n">
        <v>186</v>
      </c>
      <c r="G626" s="4" t="n"/>
      <c r="H626" s="4" t="n"/>
      <c r="I626" s="5">
        <f>IFERROR(E626/F626,"")</f>
        <v/>
      </c>
      <c r="J626" s="2" t="n">
        <v>3</v>
      </c>
      <c r="K626" s="2" t="n">
        <v>2</v>
      </c>
      <c r="L626" s="2" t="n"/>
      <c r="M626" s="2" t="n"/>
      <c r="N626" s="2" t="n"/>
      <c r="O626" s="2" t="n"/>
      <c r="P626" s="2" t="inlineStr">
        <is>
          <t>LISTED</t>
        </is>
      </c>
      <c r="Q626" s="2" t="n"/>
      <c r="R626" s="2" t="n"/>
      <c r="S626" s="2" t="n">
        <v>33.57421925671186</v>
      </c>
      <c r="T626" s="2" t="n">
        <v>-7.625347686720271</v>
      </c>
      <c r="U626" s="3" t="n">
        <v>14670</v>
      </c>
      <c r="V626" s="2" t="inlineStr"/>
      <c r="W626" s="6" t="inlineStr">
        <is>
          <t>https://yakeey.com/fr-ma/achat/biens/59493</t>
        </is>
      </c>
    </row>
    <row r="627">
      <c r="A627" t="inlineStr">
        <is>
          <t>59682</t>
        </is>
      </c>
      <c r="B627" t="inlineStr">
        <is>
          <t>APARTMENT</t>
        </is>
      </c>
      <c r="C627" t="inlineStr">
        <is>
          <t>Belvedere (Roches Noires)</t>
        </is>
      </c>
      <c r="D627" t="inlineStr">
        <is>
          <t>Casablanca</t>
        </is>
      </c>
      <c r="E627" s="7" t="n">
        <v>1280000</v>
      </c>
      <c r="F627" s="8" t="n">
        <v>106</v>
      </c>
      <c r="G627" s="8" t="n"/>
      <c r="H627" s="8" t="n"/>
      <c r="I627" s="9">
        <f>IFERROR(E627/F627,"")</f>
        <v/>
      </c>
      <c r="J627" t="n">
        <v>3</v>
      </c>
      <c r="K627" t="n">
        <v>2</v>
      </c>
      <c r="P627" t="inlineStr">
        <is>
          <t>LISTED</t>
        </is>
      </c>
      <c r="S627" t="n">
        <v>33.59572088248303</v>
      </c>
      <c r="T627" t="n">
        <v>-7.592442333584913</v>
      </c>
      <c r="U627" s="7" t="n">
        <v>7363</v>
      </c>
      <c r="V627" t="inlineStr"/>
      <c r="W627" s="10" t="inlineStr">
        <is>
          <t>https://yakeey.com/fr-ma/achat/biens/59682</t>
        </is>
      </c>
    </row>
    <row r="628">
      <c r="A628" s="2" t="inlineStr">
        <is>
          <t>5986</t>
        </is>
      </c>
      <c r="B628" s="2" t="inlineStr">
        <is>
          <t>APARTMENT</t>
        </is>
      </c>
      <c r="C628" s="2" t="inlineStr">
        <is>
          <t>Derb Omar</t>
        </is>
      </c>
      <c r="D628" s="2" t="inlineStr">
        <is>
          <t>Casablanca</t>
        </is>
      </c>
      <c r="E628" s="3" t="n">
        <v>1897500</v>
      </c>
      <c r="F628" s="4" t="n">
        <v>165</v>
      </c>
      <c r="G628" s="4" t="n"/>
      <c r="H628" s="4" t="n"/>
      <c r="I628" s="5">
        <f>IFERROR(E628/F628,"")</f>
        <v/>
      </c>
      <c r="J628" s="2" t="n">
        <v>3</v>
      </c>
      <c r="K628" s="2" t="n">
        <v>2</v>
      </c>
      <c r="L628" s="2" t="n"/>
      <c r="M628" s="2" t="n"/>
      <c r="N628" s="2" t="n"/>
      <c r="O628" s="2" t="n"/>
      <c r="P628" s="2" t="inlineStr">
        <is>
          <t>LISTED</t>
        </is>
      </c>
      <c r="Q628" s="2" t="n"/>
      <c r="R628" s="2" t="n"/>
      <c r="S628" s="2" t="n">
        <v>33.58858596106825</v>
      </c>
      <c r="T628" s="2" t="n">
        <v>-7.608567647605328</v>
      </c>
      <c r="U628" s="3" t="n">
        <v>10916</v>
      </c>
      <c r="V628" s="2" t="inlineStr"/>
      <c r="W628" s="6" t="inlineStr">
        <is>
          <t>https://yakeey.com/fr-ma/achat/biens/5986</t>
        </is>
      </c>
    </row>
    <row r="629">
      <c r="A629" t="inlineStr">
        <is>
          <t>6006</t>
        </is>
      </c>
      <c r="B629" t="inlineStr">
        <is>
          <t>APARTMENT</t>
        </is>
      </c>
      <c r="C629" t="inlineStr">
        <is>
          <t>Derb Omar</t>
        </is>
      </c>
      <c r="D629" t="inlineStr">
        <is>
          <t>Casablanca</t>
        </is>
      </c>
      <c r="E629" s="7" t="n">
        <v>1575000</v>
      </c>
      <c r="F629" s="8" t="n">
        <v>126</v>
      </c>
      <c r="G629" s="8" t="n"/>
      <c r="H629" s="8" t="n"/>
      <c r="I629" s="9">
        <f>IFERROR(E629/F629,"")</f>
        <v/>
      </c>
      <c r="J629" t="n">
        <v>3</v>
      </c>
      <c r="K629" t="n">
        <v>2</v>
      </c>
      <c r="P629" t="inlineStr">
        <is>
          <t>LISTED</t>
        </is>
      </c>
      <c r="S629" t="n">
        <v>33.58986683672634</v>
      </c>
      <c r="T629" t="n">
        <v>-7.607835113646336</v>
      </c>
      <c r="U629" s="7" t="n">
        <v>9061</v>
      </c>
      <c r="V629" t="inlineStr"/>
      <c r="W629" s="10" t="inlineStr">
        <is>
          <t>https://yakeey.com/fr-ma/achat/biens/6006</t>
        </is>
      </c>
    </row>
    <row r="630">
      <c r="A630" s="2" t="inlineStr">
        <is>
          <t>60078</t>
        </is>
      </c>
      <c r="B630" s="2" t="inlineStr">
        <is>
          <t>APARTMENT</t>
        </is>
      </c>
      <c r="C630" s="2" t="inlineStr">
        <is>
          <t>Nassim</t>
        </is>
      </c>
      <c r="D630" s="2" t="inlineStr">
        <is>
          <t>Casablanca</t>
        </is>
      </c>
      <c r="E630" s="3" t="n">
        <v>1000000</v>
      </c>
      <c r="F630" s="4" t="n">
        <v>108</v>
      </c>
      <c r="G630" s="4" t="n"/>
      <c r="H630" s="4" t="n"/>
      <c r="I630" s="5">
        <f>IFERROR(E630/F630,"")</f>
        <v/>
      </c>
      <c r="J630" s="2" t="n">
        <v>2</v>
      </c>
      <c r="K630" s="2" t="n">
        <v>2</v>
      </c>
      <c r="L630" s="2" t="n"/>
      <c r="M630" s="2" t="n"/>
      <c r="N630" s="2" t="n"/>
      <c r="O630" s="2" t="n"/>
      <c r="P630" s="2" t="inlineStr">
        <is>
          <t>LISTED</t>
        </is>
      </c>
      <c r="Q630" s="2" t="n"/>
      <c r="R630" s="2" t="n"/>
      <c r="S630" s="2" t="n">
        <v>33.51895309953788</v>
      </c>
      <c r="T630" s="2" t="n">
        <v>-7.666189820890105</v>
      </c>
      <c r="U630" s="3" t="n">
        <v>5753</v>
      </c>
      <c r="V630" s="2" t="inlineStr"/>
      <c r="W630" s="6" t="inlineStr">
        <is>
          <t>https://yakeey.com/fr-ma/achat/biens/60078</t>
        </is>
      </c>
    </row>
    <row r="631">
      <c r="A631" t="inlineStr">
        <is>
          <t>60449</t>
        </is>
      </c>
      <c r="B631" t="inlineStr">
        <is>
          <t>APARTMENT</t>
        </is>
      </c>
      <c r="C631" t="inlineStr">
        <is>
          <t>Burger</t>
        </is>
      </c>
      <c r="D631" t="inlineStr">
        <is>
          <t>Casablanca</t>
        </is>
      </c>
      <c r="E631" s="7" t="n">
        <v>2450000</v>
      </c>
      <c r="F631" s="8" t="n">
        <v>213</v>
      </c>
      <c r="G631" s="8" t="n"/>
      <c r="H631" s="8" t="n"/>
      <c r="I631" s="9">
        <f>IFERROR(E631/F631,"")</f>
        <v/>
      </c>
      <c r="J631" t="n">
        <v>3</v>
      </c>
      <c r="K631" t="n">
        <v>2</v>
      </c>
      <c r="P631" t="inlineStr">
        <is>
          <t>LISTED</t>
        </is>
      </c>
      <c r="S631" t="n">
        <v>33.57364447340054</v>
      </c>
      <c r="T631" t="n">
        <v>-7.641547668611112</v>
      </c>
      <c r="U631" s="7" t="n">
        <v>14094</v>
      </c>
      <c r="V631" t="inlineStr"/>
      <c r="W631" s="10" t="inlineStr">
        <is>
          <t>https://yakeey.com/fr-ma/achat/biens/60449</t>
        </is>
      </c>
    </row>
    <row r="632">
      <c r="A632" s="2" t="inlineStr">
        <is>
          <t>60520</t>
        </is>
      </c>
      <c r="B632" s="2" t="inlineStr">
        <is>
          <t>APARTMENT</t>
        </is>
      </c>
      <c r="C632" s="2" t="inlineStr">
        <is>
          <t>Bourgogne (Anfa)</t>
        </is>
      </c>
      <c r="D632" s="2" t="inlineStr">
        <is>
          <t>Casablanca</t>
        </is>
      </c>
      <c r="E632" s="3" t="n">
        <v>1969789</v>
      </c>
      <c r="F632" s="4" t="n">
        <v>176</v>
      </c>
      <c r="G632" s="4" t="n"/>
      <c r="H632" s="4" t="n"/>
      <c r="I632" s="5">
        <f>IFERROR(E632/F632,"")</f>
        <v/>
      </c>
      <c r="J632" s="2" t="n">
        <v>3</v>
      </c>
      <c r="K632" s="2" t="n">
        <v>2</v>
      </c>
      <c r="L632" s="2" t="n"/>
      <c r="M632" s="2" t="n"/>
      <c r="N632" s="2" t="n"/>
      <c r="O632" s="2" t="n"/>
      <c r="P632" s="2" t="inlineStr">
        <is>
          <t>LISTED</t>
        </is>
      </c>
      <c r="Q632" s="2" t="n"/>
      <c r="R632" s="2" t="n"/>
      <c r="S632" s="2" t="n">
        <v>33.59469799687515</v>
      </c>
      <c r="T632" s="2" t="n">
        <v>-7.640895917410524</v>
      </c>
      <c r="U632" s="3" t="n">
        <v>11332</v>
      </c>
      <c r="V632" s="2" t="inlineStr"/>
      <c r="W632" s="6" t="inlineStr">
        <is>
          <t>https://yakeey.com/fr-ma/achat/biens/60520</t>
        </is>
      </c>
    </row>
    <row r="633">
      <c r="A633" t="inlineStr">
        <is>
          <t>60522</t>
        </is>
      </c>
      <c r="B633" t="inlineStr">
        <is>
          <t>APARTMENT</t>
        </is>
      </c>
      <c r="C633" t="inlineStr">
        <is>
          <t>Bourgogne (Anfa)</t>
        </is>
      </c>
      <c r="D633" t="inlineStr">
        <is>
          <t>Casablanca</t>
        </is>
      </c>
      <c r="E633" s="7" t="n">
        <v>1528805</v>
      </c>
      <c r="F633" s="8" t="n">
        <v>140</v>
      </c>
      <c r="G633" s="8" t="n"/>
      <c r="H633" s="8" t="n"/>
      <c r="I633" s="9">
        <f>IFERROR(E633/F633,"")</f>
        <v/>
      </c>
      <c r="J633" t="n">
        <v>3</v>
      </c>
      <c r="K633" t="n">
        <v>2</v>
      </c>
      <c r="P633" t="inlineStr">
        <is>
          <t>LISTED</t>
        </is>
      </c>
      <c r="S633" t="n">
        <v>33.59515522059528</v>
      </c>
      <c r="T633" t="n">
        <v>-7.641979872947965</v>
      </c>
      <c r="U633" s="7" t="n">
        <v>8795</v>
      </c>
      <c r="V633" t="inlineStr"/>
      <c r="W633" s="10" t="inlineStr">
        <is>
          <t>https://yakeey.com/fr-ma/achat/biens/60522</t>
        </is>
      </c>
    </row>
    <row r="634">
      <c r="A634" s="2" t="inlineStr">
        <is>
          <t>60523</t>
        </is>
      </c>
      <c r="B634" s="2" t="inlineStr">
        <is>
          <t>APARTMENT</t>
        </is>
      </c>
      <c r="C634" s="2" t="inlineStr">
        <is>
          <t>Bourgogne (Anfa)</t>
        </is>
      </c>
      <c r="D634" s="2" t="inlineStr">
        <is>
          <t>Casablanca</t>
        </is>
      </c>
      <c r="E634" s="3" t="n">
        <v>1979941</v>
      </c>
      <c r="F634" s="4" t="n">
        <v>176</v>
      </c>
      <c r="G634" s="4" t="n"/>
      <c r="H634" s="4" t="n"/>
      <c r="I634" s="5">
        <f>IFERROR(E634/F634,"")</f>
        <v/>
      </c>
      <c r="J634" s="2" t="n">
        <v>3</v>
      </c>
      <c r="K634" s="2" t="n">
        <v>2</v>
      </c>
      <c r="L634" s="2" t="n"/>
      <c r="M634" s="2" t="n"/>
      <c r="N634" s="2" t="n"/>
      <c r="O634" s="2" t="n"/>
      <c r="P634" s="2" t="inlineStr">
        <is>
          <t>LISTED</t>
        </is>
      </c>
      <c r="Q634" s="2" t="n"/>
      <c r="R634" s="2" t="n"/>
      <c r="S634" s="2" t="n">
        <v>33.59630298361013</v>
      </c>
      <c r="T634" s="2" t="n">
        <v>-7.641501649155376</v>
      </c>
      <c r="U634" s="3" t="n">
        <v>11390</v>
      </c>
      <c r="V634" s="2" t="inlineStr"/>
      <c r="W634" s="6" t="inlineStr">
        <is>
          <t>https://yakeey.com/fr-ma/achat/biens/60523</t>
        </is>
      </c>
    </row>
    <row r="635">
      <c r="A635" t="inlineStr">
        <is>
          <t>60525</t>
        </is>
      </c>
      <c r="B635" t="inlineStr">
        <is>
          <t>APARTMENT</t>
        </is>
      </c>
      <c r="C635" t="inlineStr">
        <is>
          <t>Bourgogne (Anfa)</t>
        </is>
      </c>
      <c r="D635" t="inlineStr">
        <is>
          <t>Casablanca</t>
        </is>
      </c>
      <c r="E635" s="7" t="n">
        <v>1537726</v>
      </c>
      <c r="F635" s="8" t="n">
        <v>134</v>
      </c>
      <c r="G635" s="8" t="n"/>
      <c r="H635" s="8" t="n"/>
      <c r="I635" s="9">
        <f>IFERROR(E635/F635,"")</f>
        <v/>
      </c>
      <c r="J635" t="n">
        <v>3</v>
      </c>
      <c r="K635" t="n">
        <v>2</v>
      </c>
      <c r="P635" t="inlineStr">
        <is>
          <t>LISTED</t>
        </is>
      </c>
      <c r="S635" t="n">
        <v>33.59426245262418</v>
      </c>
      <c r="T635" t="n">
        <v>-7.641047148725385</v>
      </c>
      <c r="U635" s="7" t="n">
        <v>8846</v>
      </c>
      <c r="V635" t="inlineStr"/>
      <c r="W635" s="10" t="inlineStr">
        <is>
          <t>https://yakeey.com/fr-ma/achat/biens/60525</t>
        </is>
      </c>
    </row>
    <row r="636">
      <c r="A636" s="2" t="inlineStr">
        <is>
          <t>6067</t>
        </is>
      </c>
      <c r="B636" s="2" t="inlineStr">
        <is>
          <t>APARTMENT</t>
        </is>
      </c>
      <c r="C636" s="2" t="inlineStr">
        <is>
          <t>Derb Omar</t>
        </is>
      </c>
      <c r="D636" s="2" t="inlineStr">
        <is>
          <t>Casablanca</t>
        </is>
      </c>
      <c r="E636" s="3" t="n">
        <v>1600000</v>
      </c>
      <c r="F636" s="4" t="n">
        <v>128</v>
      </c>
      <c r="G636" s="4" t="n"/>
      <c r="H636" s="4" t="n"/>
      <c r="I636" s="5">
        <f>IFERROR(E636/F636,"")</f>
        <v/>
      </c>
      <c r="J636" s="2" t="n">
        <v>3</v>
      </c>
      <c r="K636" s="2" t="n">
        <v>2</v>
      </c>
      <c r="L636" s="2" t="n"/>
      <c r="M636" s="2" t="n"/>
      <c r="N636" s="2" t="n"/>
      <c r="O636" s="2" t="n"/>
      <c r="P636" s="2" t="inlineStr">
        <is>
          <t>LISTED</t>
        </is>
      </c>
      <c r="Q636" s="2" t="n"/>
      <c r="R636" s="2" t="n"/>
      <c r="S636" s="2" t="n">
        <v>33.58870380214821</v>
      </c>
      <c r="T636" s="2" t="n">
        <v>-7.608299984018121</v>
      </c>
      <c r="U636" s="3" t="n">
        <v>9204</v>
      </c>
      <c r="V636" s="2" t="inlineStr"/>
      <c r="W636" s="6" t="inlineStr">
        <is>
          <t>https://yakeey.com/fr-ma/achat/biens/6067</t>
        </is>
      </c>
    </row>
    <row r="637">
      <c r="A637" t="inlineStr">
        <is>
          <t>6070</t>
        </is>
      </c>
      <c r="B637" t="inlineStr">
        <is>
          <t>APARTMENT</t>
        </is>
      </c>
      <c r="C637" t="inlineStr">
        <is>
          <t>Derb Omar</t>
        </is>
      </c>
      <c r="D637" t="inlineStr">
        <is>
          <t>Casablanca</t>
        </is>
      </c>
      <c r="E637" s="7" t="n">
        <v>1476000</v>
      </c>
      <c r="F637" s="8" t="n">
        <v>123</v>
      </c>
      <c r="G637" s="8" t="n"/>
      <c r="H637" s="8" t="n"/>
      <c r="I637" s="9">
        <f>IFERROR(E637/F637,"")</f>
        <v/>
      </c>
      <c r="J637" t="n">
        <v>2</v>
      </c>
      <c r="K637" t="n">
        <v>2</v>
      </c>
      <c r="P637" t="inlineStr">
        <is>
          <t>LISTED</t>
        </is>
      </c>
      <c r="S637" t="n">
        <v>33.59000868732294</v>
      </c>
      <c r="T637" t="n">
        <v>-7.608351405529369</v>
      </c>
      <c r="U637" s="7" t="n">
        <v>8491</v>
      </c>
      <c r="V637" t="inlineStr"/>
      <c r="W637" s="10" t="inlineStr">
        <is>
          <t>https://yakeey.com/fr-ma/achat/biens/6070</t>
        </is>
      </c>
    </row>
    <row r="638">
      <c r="A638" s="2" t="inlineStr">
        <is>
          <t>6075</t>
        </is>
      </c>
      <c r="B638" s="2" t="inlineStr">
        <is>
          <t>APARTMENT</t>
        </is>
      </c>
      <c r="C638" s="2" t="inlineStr">
        <is>
          <t>Derb Omar</t>
        </is>
      </c>
      <c r="D638" s="2" t="inlineStr">
        <is>
          <t>Casablanca</t>
        </is>
      </c>
      <c r="E638" s="3" t="n">
        <v>1586000</v>
      </c>
      <c r="F638" s="4" t="n">
        <v>130</v>
      </c>
      <c r="G638" s="4" t="n"/>
      <c r="H638" s="4" t="n"/>
      <c r="I638" s="5">
        <f>IFERROR(E638/F638,"")</f>
        <v/>
      </c>
      <c r="J638" s="2" t="n">
        <v>3</v>
      </c>
      <c r="K638" s="2" t="n">
        <v>2</v>
      </c>
      <c r="L638" s="2" t="n"/>
      <c r="M638" s="2" t="n"/>
      <c r="N638" s="2" t="n"/>
      <c r="O638" s="2" t="n"/>
      <c r="P638" s="2" t="inlineStr">
        <is>
          <t>LISTED</t>
        </is>
      </c>
      <c r="Q638" s="2" t="n"/>
      <c r="R638" s="2" t="n"/>
      <c r="S638" s="2" t="n">
        <v>33.59036169828363</v>
      </c>
      <c r="T638" s="2" t="n">
        <v>-7.609841554110914</v>
      </c>
      <c r="U638" s="3" t="n">
        <v>9124</v>
      </c>
      <c r="V638" s="2" t="inlineStr"/>
      <c r="W638" s="6" t="inlineStr">
        <is>
          <t>https://yakeey.com/fr-ma/achat/biens/6075</t>
        </is>
      </c>
    </row>
    <row r="639">
      <c r="A639" t="inlineStr">
        <is>
          <t>61092</t>
        </is>
      </c>
      <c r="B639" t="inlineStr">
        <is>
          <t>APARTMENT</t>
        </is>
      </c>
      <c r="C639" t="inlineStr">
        <is>
          <t>Maarif Extension</t>
        </is>
      </c>
      <c r="D639" t="inlineStr">
        <is>
          <t>Casablanca</t>
        </is>
      </c>
      <c r="E639" s="7" t="n">
        <v>4500000</v>
      </c>
      <c r="F639" s="8" t="n">
        <v>259</v>
      </c>
      <c r="G639" s="8" t="n"/>
      <c r="H639" s="8" t="n"/>
      <c r="I639" s="9">
        <f>IFERROR(E639/F639,"")</f>
        <v/>
      </c>
      <c r="J639" t="n">
        <v>4</v>
      </c>
      <c r="K639" t="n">
        <v>2</v>
      </c>
      <c r="P639" t="inlineStr">
        <is>
          <t>LISTED</t>
        </is>
      </c>
      <c r="S639" t="n">
        <v>33.58490670803582</v>
      </c>
      <c r="T639" t="n">
        <v>-7.645311061495354</v>
      </c>
      <c r="U639" s="7" t="n">
        <v>25888</v>
      </c>
      <c r="V639" t="inlineStr"/>
      <c r="W639" s="10" t="inlineStr">
        <is>
          <t>https://yakeey.com/fr-ma/achat/biens/61092</t>
        </is>
      </c>
    </row>
    <row r="640">
      <c r="A640" s="2" t="inlineStr">
        <is>
          <t>61339</t>
        </is>
      </c>
      <c r="B640" s="2" t="inlineStr">
        <is>
          <t>APARTMENT</t>
        </is>
      </c>
      <c r="C640" s="2" t="inlineStr">
        <is>
          <t>Belvedere (Roches Noires)</t>
        </is>
      </c>
      <c r="D640" s="2" t="inlineStr">
        <is>
          <t>Casablanca</t>
        </is>
      </c>
      <c r="E640" s="3" t="n">
        <v>1054000</v>
      </c>
      <c r="F640" s="4" t="n">
        <v>124</v>
      </c>
      <c r="G640" s="4" t="n"/>
      <c r="H640" s="4" t="n"/>
      <c r="I640" s="5">
        <f>IFERROR(E640/F640,"")</f>
        <v/>
      </c>
      <c r="J640" s="2" t="n">
        <v>3</v>
      </c>
      <c r="K640" s="2" t="n">
        <v>2</v>
      </c>
      <c r="L640" s="2" t="n"/>
      <c r="M640" s="2" t="n"/>
      <c r="N640" s="2" t="n"/>
      <c r="O640" s="2" t="n"/>
      <c r="P640" s="2" t="inlineStr">
        <is>
          <t>LISTED</t>
        </is>
      </c>
      <c r="Q640" s="2" t="n"/>
      <c r="R640" s="2" t="n"/>
      <c r="S640" s="2" t="n">
        <v>33.5962874820835</v>
      </c>
      <c r="T640" s="2" t="n">
        <v>-7.590906747563354</v>
      </c>
      <c r="U640" s="3" t="n">
        <v>6063</v>
      </c>
      <c r="V640" s="2" t="inlineStr"/>
      <c r="W640" s="6" t="inlineStr">
        <is>
          <t>https://yakeey.com/fr-ma/achat/biens/61339</t>
        </is>
      </c>
    </row>
    <row r="641">
      <c r="A641" t="inlineStr">
        <is>
          <t>61544</t>
        </is>
      </c>
      <c r="B641" t="inlineStr">
        <is>
          <t>APARTMENT</t>
        </is>
      </c>
      <c r="C641" t="inlineStr">
        <is>
          <t>Nassim</t>
        </is>
      </c>
      <c r="D641" t="inlineStr">
        <is>
          <t>Casablanca</t>
        </is>
      </c>
      <c r="E641" s="7" t="n">
        <v>950000</v>
      </c>
      <c r="F641" s="8" t="n">
        <v>150</v>
      </c>
      <c r="G641" s="8" t="n"/>
      <c r="H641" s="8" t="n"/>
      <c r="I641" s="9">
        <f>IFERROR(E641/F641,"")</f>
        <v/>
      </c>
      <c r="J641" t="n">
        <v>3</v>
      </c>
      <c r="K641" t="n">
        <v>2</v>
      </c>
      <c r="P641" t="inlineStr">
        <is>
          <t>LISTED</t>
        </is>
      </c>
      <c r="S641" t="n">
        <v>33.51466213463925</v>
      </c>
      <c r="T641" t="n">
        <v>-7.670598248505955</v>
      </c>
      <c r="U641" s="7" t="n">
        <v>5465</v>
      </c>
      <c r="V641" t="inlineStr"/>
      <c r="W641" s="10" t="inlineStr">
        <is>
          <t>https://yakeey.com/fr-ma/achat/biens/61544</t>
        </is>
      </c>
    </row>
    <row r="642">
      <c r="A642" s="2" t="inlineStr">
        <is>
          <t>61946</t>
        </is>
      </c>
      <c r="B642" s="2" t="inlineStr">
        <is>
          <t>APARTMENT</t>
        </is>
      </c>
      <c r="C642" s="2" t="inlineStr">
        <is>
          <t>Plateau</t>
        </is>
      </c>
      <c r="D642" s="2" t="inlineStr">
        <is>
          <t>Casablanca</t>
        </is>
      </c>
      <c r="E642" s="3" t="n">
        <v>2700000</v>
      </c>
      <c r="F642" s="4" t="n">
        <v>234</v>
      </c>
      <c r="G642" s="4" t="n"/>
      <c r="H642" s="4" t="n"/>
      <c r="I642" s="5">
        <f>IFERROR(E642/F642,"")</f>
        <v/>
      </c>
      <c r="J642" s="2" t="n">
        <v>4</v>
      </c>
      <c r="K642" s="2" t="n">
        <v>2</v>
      </c>
      <c r="L642" s="2" t="n"/>
      <c r="M642" s="2" t="n"/>
      <c r="N642" s="2" t="n"/>
      <c r="O642" s="2" t="n"/>
      <c r="P642" s="2" t="inlineStr">
        <is>
          <t>LISTED</t>
        </is>
      </c>
      <c r="Q642" s="2" t="n"/>
      <c r="R642" s="2" t="n"/>
      <c r="S642" s="2" t="n">
        <v>33.57478514216553</v>
      </c>
      <c r="T642" s="2" t="n">
        <v>-7.634931856116708</v>
      </c>
      <c r="U642" s="3" t="n">
        <v>15533</v>
      </c>
      <c r="V642" s="2" t="inlineStr"/>
      <c r="W642" s="6" t="inlineStr">
        <is>
          <t>https://yakeey.com/fr-ma/achat/biens/61946</t>
        </is>
      </c>
    </row>
    <row r="643">
      <c r="A643" t="inlineStr">
        <is>
          <t>62362</t>
        </is>
      </c>
      <c r="B643" t="inlineStr">
        <is>
          <t>APARTMENT</t>
        </is>
      </c>
      <c r="C643" t="inlineStr">
        <is>
          <t>Les Princesses</t>
        </is>
      </c>
      <c r="D643" t="inlineStr">
        <is>
          <t>Casablanca</t>
        </is>
      </c>
      <c r="E643" s="7" t="n">
        <v>3300000</v>
      </c>
      <c r="F643" s="8" t="n">
        <v>198</v>
      </c>
      <c r="G643" s="8" t="n"/>
      <c r="H643" s="8" t="n"/>
      <c r="I643" s="9">
        <f>IFERROR(E643/F643,"")</f>
        <v/>
      </c>
      <c r="J643" t="n">
        <v>4</v>
      </c>
      <c r="K643" t="n">
        <v>2</v>
      </c>
      <c r="P643" t="inlineStr">
        <is>
          <t>LISTED</t>
        </is>
      </c>
      <c r="S643" t="n">
        <v>33.57628500615335</v>
      </c>
      <c r="T643" t="n">
        <v>-7.646456379230478</v>
      </c>
      <c r="U643" s="7" t="n">
        <v>18985</v>
      </c>
      <c r="V643" t="inlineStr"/>
      <c r="W643" s="10" t="inlineStr">
        <is>
          <t>https://yakeey.com/fr-ma/achat/biens/62362</t>
        </is>
      </c>
    </row>
    <row r="644">
      <c r="A644" s="2" t="inlineStr">
        <is>
          <t>62733</t>
        </is>
      </c>
      <c r="B644" s="2" t="inlineStr">
        <is>
          <t>APARTMENT</t>
        </is>
      </c>
      <c r="C644" s="2" t="inlineStr">
        <is>
          <t>Cil</t>
        </is>
      </c>
      <c r="D644" s="2" t="inlineStr">
        <is>
          <t>Casablanca</t>
        </is>
      </c>
      <c r="E644" s="3" t="n">
        <v>2450000</v>
      </c>
      <c r="F644" s="4" t="n">
        <v>141</v>
      </c>
      <c r="G644" s="4" t="n"/>
      <c r="H644" s="4" t="n"/>
      <c r="I644" s="5">
        <f>IFERROR(E644/F644,"")</f>
        <v/>
      </c>
      <c r="J644" s="2" t="n">
        <v>3</v>
      </c>
      <c r="K644" s="2" t="n">
        <v>2</v>
      </c>
      <c r="L644" s="2" t="n"/>
      <c r="M644" s="2" t="n"/>
      <c r="N644" s="2" t="n"/>
      <c r="O644" s="2" t="n"/>
      <c r="P644" s="2" t="inlineStr">
        <is>
          <t>LISTED</t>
        </is>
      </c>
      <c r="Q644" s="2" t="n"/>
      <c r="R644" s="2" t="n"/>
      <c r="S644" s="2" t="n">
        <v>33.56808146585301</v>
      </c>
      <c r="T644" s="2" t="n">
        <v>-7.655646737189397</v>
      </c>
      <c r="U644" s="3" t="n">
        <v>14094</v>
      </c>
      <c r="V644" s="2" t="inlineStr"/>
      <c r="W644" s="6" t="inlineStr">
        <is>
          <t>https://yakeey.com/fr-ma/achat/biens/62733</t>
        </is>
      </c>
    </row>
    <row r="645">
      <c r="A645" t="inlineStr">
        <is>
          <t>63165</t>
        </is>
      </c>
      <c r="B645" t="inlineStr">
        <is>
          <t>APARTMENT</t>
        </is>
      </c>
      <c r="C645" t="inlineStr">
        <is>
          <t>Belvedere (Roches Noires)</t>
        </is>
      </c>
      <c r="D645" t="inlineStr">
        <is>
          <t>Casablanca</t>
        </is>
      </c>
      <c r="E645" s="7" t="n">
        <v>1600000</v>
      </c>
      <c r="F645" s="8" t="n">
        <v>214</v>
      </c>
      <c r="G645" s="8" t="n"/>
      <c r="H645" s="8" t="n"/>
      <c r="I645" s="9">
        <f>IFERROR(E645/F645,"")</f>
        <v/>
      </c>
      <c r="J645" t="n">
        <v>3</v>
      </c>
      <c r="K645" t="n">
        <v>2</v>
      </c>
      <c r="P645" t="inlineStr">
        <is>
          <t>LISTED</t>
        </is>
      </c>
      <c r="S645" t="n">
        <v>33.58967316371857</v>
      </c>
      <c r="T645" t="n">
        <v>-7.599895291544078</v>
      </c>
      <c r="U645" s="7" t="n">
        <v>9204</v>
      </c>
      <c r="V645" t="inlineStr"/>
      <c r="W645" s="10" t="inlineStr">
        <is>
          <t>https://yakeey.com/fr-ma/achat/biens/63165</t>
        </is>
      </c>
    </row>
    <row r="646">
      <c r="A646" s="2" t="inlineStr">
        <is>
          <t>63287</t>
        </is>
      </c>
      <c r="B646" s="2" t="inlineStr">
        <is>
          <t>APARTMENT</t>
        </is>
      </c>
      <c r="C646" s="2" t="inlineStr">
        <is>
          <t>Nouaceur</t>
        </is>
      </c>
      <c r="D646" s="2" t="inlineStr">
        <is>
          <t>Nouaceur</t>
        </is>
      </c>
      <c r="E646" s="3" t="n">
        <v>945000</v>
      </c>
      <c r="F646" s="4" t="n">
        <v>126</v>
      </c>
      <c r="G646" s="4" t="n"/>
      <c r="H646" s="4" t="n"/>
      <c r="I646" s="5">
        <f>IFERROR(E646/F646,"")</f>
        <v/>
      </c>
      <c r="J646" s="2" t="n">
        <v>3</v>
      </c>
      <c r="K646" s="2" t="n">
        <v>2</v>
      </c>
      <c r="L646" s="2" t="n"/>
      <c r="M646" s="2" t="n"/>
      <c r="N646" s="2" t="n"/>
      <c r="O646" s="2" t="n"/>
      <c r="P646" s="2" t="inlineStr">
        <is>
          <t>LISTED</t>
        </is>
      </c>
      <c r="Q646" s="2" t="n"/>
      <c r="R646" s="2" t="n"/>
      <c r="S646" s="2" t="n">
        <v>33.39266002136679</v>
      </c>
      <c r="T646" s="2" t="n">
        <v>-7.555538832906309</v>
      </c>
      <c r="U646" s="3" t="n">
        <v>5436</v>
      </c>
      <c r="V646" s="2" t="inlineStr"/>
      <c r="W646" s="6" t="inlineStr">
        <is>
          <t>https://yakeey.com/fr-ma/achat/biens/63287</t>
        </is>
      </c>
    </row>
    <row r="647">
      <c r="A647" t="inlineStr">
        <is>
          <t>63295</t>
        </is>
      </c>
      <c r="B647" t="inlineStr">
        <is>
          <t>APARTMENT</t>
        </is>
      </c>
      <c r="C647" t="inlineStr">
        <is>
          <t>Ibn Tachfine</t>
        </is>
      </c>
      <c r="D647" t="inlineStr">
        <is>
          <t>Casablanca</t>
        </is>
      </c>
      <c r="E647" s="7" t="n">
        <v>1495000</v>
      </c>
      <c r="F647" s="8" t="n">
        <v>116</v>
      </c>
      <c r="G647" s="8" t="n"/>
      <c r="H647" s="8" t="n"/>
      <c r="I647" s="9">
        <f>IFERROR(E647/F647,"")</f>
        <v/>
      </c>
      <c r="J647" t="n">
        <v>4</v>
      </c>
      <c r="K647" t="n">
        <v>2</v>
      </c>
      <c r="P647" t="inlineStr">
        <is>
          <t>LISTED</t>
        </is>
      </c>
      <c r="S647" t="n">
        <v>33.58549754994773</v>
      </c>
      <c r="T647" t="n">
        <v>-7.591149053621871</v>
      </c>
      <c r="U647" s="7" t="n">
        <v>8600</v>
      </c>
      <c r="V647" t="inlineStr"/>
      <c r="W647" s="10" t="inlineStr">
        <is>
          <t>https://yakeey.com/fr-ma/achat/biens/63295</t>
        </is>
      </c>
    </row>
    <row r="648">
      <c r="A648" s="2" t="inlineStr">
        <is>
          <t>63483</t>
        </is>
      </c>
      <c r="B648" s="2" t="inlineStr">
        <is>
          <t>APARTMENT</t>
        </is>
      </c>
      <c r="C648" s="2" t="inlineStr">
        <is>
          <t>Sidi Maarouf</t>
        </is>
      </c>
      <c r="D648" s="2" t="inlineStr">
        <is>
          <t>Casablanca</t>
        </is>
      </c>
      <c r="E648" s="3" t="n">
        <v>830000</v>
      </c>
      <c r="F648" s="4" t="n">
        <v>65</v>
      </c>
      <c r="G648" s="4" t="n"/>
      <c r="H648" s="4" t="n"/>
      <c r="I648" s="5">
        <f>IFERROR(E648/F648,"")</f>
        <v/>
      </c>
      <c r="J648" s="2" t="n">
        <v>2</v>
      </c>
      <c r="K648" s="2" t="n">
        <v>1</v>
      </c>
      <c r="L648" s="2" t="n"/>
      <c r="M648" s="2" t="n"/>
      <c r="N648" s="2" t="n"/>
      <c r="O648" s="2" t="n"/>
      <c r="P648" s="2" t="inlineStr">
        <is>
          <t>LISTED</t>
        </is>
      </c>
      <c r="Q648" s="2" t="n"/>
      <c r="R648" s="2" t="n"/>
      <c r="S648" s="2" t="n">
        <v>33.51607512524991</v>
      </c>
      <c r="T648" s="2" t="n">
        <v>-7.659564641439738</v>
      </c>
      <c r="U648" s="3" t="n">
        <v>4775</v>
      </c>
      <c r="V648" s="2" t="inlineStr"/>
      <c r="W648" s="6" t="inlineStr">
        <is>
          <t>https://yakeey.com/fr-ma/achat/biens/63483</t>
        </is>
      </c>
    </row>
    <row r="649">
      <c r="A649" t="inlineStr">
        <is>
          <t>63640</t>
        </is>
      </c>
      <c r="B649" t="inlineStr">
        <is>
          <t>APARTMENT</t>
        </is>
      </c>
      <c r="C649" t="inlineStr">
        <is>
          <t>Hopitaux</t>
        </is>
      </c>
      <c r="D649" t="inlineStr">
        <is>
          <t>Casablanca</t>
        </is>
      </c>
      <c r="E649" s="7" t="n">
        <v>1700000</v>
      </c>
      <c r="F649" s="8" t="n">
        <v>110</v>
      </c>
      <c r="G649" s="8" t="n"/>
      <c r="H649" s="8" t="n"/>
      <c r="I649" s="9">
        <f>IFERROR(E649/F649,"")</f>
        <v/>
      </c>
      <c r="J649" t="n">
        <v>2</v>
      </c>
      <c r="K649" t="n">
        <v>1</v>
      </c>
      <c r="P649" t="inlineStr">
        <is>
          <t>LISTED</t>
        </is>
      </c>
      <c r="S649" t="n">
        <v>33.577876113934</v>
      </c>
      <c r="T649" t="n">
        <v>-7.623511568886894</v>
      </c>
      <c r="U649" s="7" t="n">
        <v>9780</v>
      </c>
      <c r="V649" t="inlineStr"/>
      <c r="W649" s="10" t="inlineStr">
        <is>
          <t>https://yakeey.com/fr-ma/achat/biens/63640</t>
        </is>
      </c>
    </row>
    <row r="650">
      <c r="A650" s="2" t="inlineStr">
        <is>
          <t>6375</t>
        </is>
      </c>
      <c r="B650" s="2" t="inlineStr">
        <is>
          <t>APARTMENT</t>
        </is>
      </c>
      <c r="C650" s="2" t="inlineStr">
        <is>
          <t>Maarif Extension</t>
        </is>
      </c>
      <c r="D650" s="2" t="inlineStr">
        <is>
          <t>Casablanca</t>
        </is>
      </c>
      <c r="E650" s="3" t="n">
        <v>1800000</v>
      </c>
      <c r="F650" s="4" t="n">
        <v>101</v>
      </c>
      <c r="G650" s="4" t="n"/>
      <c r="H650" s="4" t="n"/>
      <c r="I650" s="5">
        <f>IFERROR(E650/F650,"")</f>
        <v/>
      </c>
      <c r="J650" s="2" t="n">
        <v>2</v>
      </c>
      <c r="K650" s="2" t="n">
        <v>1</v>
      </c>
      <c r="L650" s="2" t="n"/>
      <c r="M650" s="2" t="n"/>
      <c r="N650" s="2" t="n"/>
      <c r="O650" s="2" t="n"/>
      <c r="P650" s="2" t="inlineStr">
        <is>
          <t>LISTED</t>
        </is>
      </c>
      <c r="Q650" s="2" t="n"/>
      <c r="R650" s="2" t="n"/>
      <c r="S650" s="2" t="n">
        <v>33.57817118540808</v>
      </c>
      <c r="T650" s="2" t="n">
        <v>-7.638045305533933</v>
      </c>
      <c r="U650" s="3" t="n">
        <v>10355</v>
      </c>
      <c r="V650" s="2" t="inlineStr"/>
      <c r="W650" s="6" t="inlineStr">
        <is>
          <t>https://yakeey.com/fr-ma/achat/biens/6375</t>
        </is>
      </c>
    </row>
    <row r="651">
      <c r="A651" t="inlineStr">
        <is>
          <t>63971</t>
        </is>
      </c>
      <c r="B651" t="inlineStr">
        <is>
          <t>APARTMENT</t>
        </is>
      </c>
      <c r="C651" t="inlineStr">
        <is>
          <t>Gauthier</t>
        </is>
      </c>
      <c r="D651" t="inlineStr">
        <is>
          <t>Casablanca</t>
        </is>
      </c>
      <c r="E651" s="7" t="n">
        <v>2250000</v>
      </c>
      <c r="F651" s="8" t="n">
        <v>145</v>
      </c>
      <c r="G651" s="8" t="n"/>
      <c r="H651" s="8" t="n"/>
      <c r="I651" s="9">
        <f>IFERROR(E651/F651,"")</f>
        <v/>
      </c>
      <c r="J651" t="n">
        <v>3</v>
      </c>
      <c r="K651" t="n">
        <v>2</v>
      </c>
      <c r="P651" t="inlineStr">
        <is>
          <t>LISTED</t>
        </is>
      </c>
      <c r="S651" t="n">
        <v>33.59216996798855</v>
      </c>
      <c r="T651" t="n">
        <v>-7.632992471346085</v>
      </c>
      <c r="U651" s="7" t="n">
        <v>12944</v>
      </c>
      <c r="V651" t="inlineStr"/>
      <c r="W651" s="10" t="inlineStr">
        <is>
          <t>https://yakeey.com/fr-ma/achat/biens/63971</t>
        </is>
      </c>
    </row>
    <row r="652">
      <c r="A652" s="2" t="inlineStr">
        <is>
          <t>6429</t>
        </is>
      </c>
      <c r="B652" s="2" t="inlineStr">
        <is>
          <t>APARTMENT</t>
        </is>
      </c>
      <c r="C652" s="2" t="inlineStr">
        <is>
          <t>Hopitaux</t>
        </is>
      </c>
      <c r="D652" s="2" t="inlineStr">
        <is>
          <t>Casablanca</t>
        </is>
      </c>
      <c r="E652" s="3" t="n">
        <v>2500000</v>
      </c>
      <c r="F652" s="4" t="n">
        <v>162</v>
      </c>
      <c r="G652" s="4" t="n"/>
      <c r="H652" s="4" t="n"/>
      <c r="I652" s="5">
        <f>IFERROR(E652/F652,"")</f>
        <v/>
      </c>
      <c r="J652" s="2" t="n">
        <v>5</v>
      </c>
      <c r="K652" s="2" t="n">
        <v>3</v>
      </c>
      <c r="L652" s="2" t="n"/>
      <c r="M652" s="2" t="n"/>
      <c r="N652" s="2" t="n"/>
      <c r="O652" s="2" t="n"/>
      <c r="P652" s="2" t="inlineStr">
        <is>
          <t>LISTED</t>
        </is>
      </c>
      <c r="Q652" s="2" t="n"/>
      <c r="R652" s="2" t="n"/>
      <c r="S652" s="2" t="n">
        <v>33.57159205444517</v>
      </c>
      <c r="T652" s="2" t="n">
        <v>-7.617270509036032</v>
      </c>
      <c r="U652" s="3" t="n">
        <v>14382</v>
      </c>
      <c r="V652" s="2" t="inlineStr"/>
      <c r="W652" s="6" t="inlineStr">
        <is>
          <t>https://yakeey.com/fr-ma/achat/biens/6429</t>
        </is>
      </c>
    </row>
    <row r="653">
      <c r="A653" t="inlineStr">
        <is>
          <t>6443</t>
        </is>
      </c>
      <c r="B653" t="inlineStr">
        <is>
          <t>APARTMENT</t>
        </is>
      </c>
      <c r="C653" t="inlineStr">
        <is>
          <t>El Hank</t>
        </is>
      </c>
      <c r="D653" t="inlineStr">
        <is>
          <t>Casablanca</t>
        </is>
      </c>
      <c r="E653" s="7" t="n">
        <v>2000000</v>
      </c>
      <c r="F653" s="8" t="n">
        <v>129</v>
      </c>
      <c r="G653" s="8" t="n"/>
      <c r="H653" s="8" t="n"/>
      <c r="I653" s="9">
        <f>IFERROR(E653/F653,"")</f>
        <v/>
      </c>
      <c r="J653" t="n">
        <v>3</v>
      </c>
      <c r="K653" t="n">
        <v>2</v>
      </c>
      <c r="P653" t="inlineStr">
        <is>
          <t>LISTED</t>
        </is>
      </c>
      <c r="S653" t="n">
        <v>33.60105436145829</v>
      </c>
      <c r="T653" t="n">
        <v>-7.649996555719371</v>
      </c>
      <c r="U653" s="7" t="n">
        <v>11506</v>
      </c>
      <c r="V653" t="inlineStr"/>
      <c r="W653" s="10" t="inlineStr">
        <is>
          <t>https://yakeey.com/fr-ma/achat/biens/6443</t>
        </is>
      </c>
    </row>
    <row r="654">
      <c r="A654" s="2" t="inlineStr">
        <is>
          <t>64448</t>
        </is>
      </c>
      <c r="B654" s="2" t="inlineStr">
        <is>
          <t>APARTMENT</t>
        </is>
      </c>
      <c r="C654" s="2" t="inlineStr">
        <is>
          <t>Beausejour</t>
        </is>
      </c>
      <c r="D654" s="2" t="inlineStr">
        <is>
          <t>Casablanca</t>
        </is>
      </c>
      <c r="E654" s="3" t="n">
        <v>2100000</v>
      </c>
      <c r="F654" s="4" t="n">
        <v>125</v>
      </c>
      <c r="G654" s="4" t="n"/>
      <c r="H654" s="4" t="n"/>
      <c r="I654" s="5">
        <f>IFERROR(E654/F654,"")</f>
        <v/>
      </c>
      <c r="J654" s="2" t="n">
        <v>2</v>
      </c>
      <c r="K654" s="2" t="n">
        <v>2</v>
      </c>
      <c r="L654" s="2" t="n"/>
      <c r="M654" s="2" t="n"/>
      <c r="N654" s="2" t="n"/>
      <c r="O654" s="2" t="n"/>
      <c r="P654" s="2" t="inlineStr">
        <is>
          <t>LISTED</t>
        </is>
      </c>
      <c r="Q654" s="2" t="n"/>
      <c r="R654" s="2" t="n"/>
      <c r="S654" s="2" t="n">
        <v>33.57213402764287</v>
      </c>
      <c r="T654" s="2" t="n">
        <v>-7.648693537873241</v>
      </c>
      <c r="U654" s="3" t="n">
        <v>12081</v>
      </c>
      <c r="V654" s="2" t="inlineStr"/>
      <c r="W654" s="6" t="inlineStr">
        <is>
          <t>https://yakeey.com/fr-ma/achat/biens/64448</t>
        </is>
      </c>
    </row>
    <row r="655">
      <c r="A655" t="inlineStr">
        <is>
          <t>64514</t>
        </is>
      </c>
      <c r="B655" t="inlineStr">
        <is>
          <t>APARTMENT</t>
        </is>
      </c>
      <c r="C655" t="inlineStr">
        <is>
          <t>Gauthier</t>
        </is>
      </c>
      <c r="D655" t="inlineStr">
        <is>
          <t>Casablanca</t>
        </is>
      </c>
      <c r="E655" s="7" t="n">
        <v>4400000</v>
      </c>
      <c r="F655" s="8" t="n">
        <v>322</v>
      </c>
      <c r="G655" s="8" t="n"/>
      <c r="H655" s="8" t="n"/>
      <c r="I655" s="9">
        <f>IFERROR(E655/F655,"")</f>
        <v/>
      </c>
      <c r="J655" t="n">
        <v>3</v>
      </c>
      <c r="K655" t="n">
        <v>3</v>
      </c>
      <c r="P655" t="inlineStr">
        <is>
          <t>LISTED</t>
        </is>
      </c>
      <c r="S655" t="n">
        <v>33.58689472774477</v>
      </c>
      <c r="T655" t="n">
        <v>-7.629234187676164</v>
      </c>
      <c r="U655" s="7" t="n">
        <v>25313</v>
      </c>
      <c r="V655" t="inlineStr"/>
      <c r="W655" s="10" t="inlineStr">
        <is>
          <t>https://yakeey.com/fr-ma/achat/biens/64514</t>
        </is>
      </c>
    </row>
    <row r="656">
      <c r="A656" s="2" t="inlineStr">
        <is>
          <t>64537</t>
        </is>
      </c>
      <c r="B656" s="2" t="inlineStr">
        <is>
          <t>APARTMENT</t>
        </is>
      </c>
      <c r="C656" s="2" t="inlineStr">
        <is>
          <t>Belvedere (Roches Noires)</t>
        </is>
      </c>
      <c r="D656" s="2" t="inlineStr">
        <is>
          <t>Casablanca</t>
        </is>
      </c>
      <c r="E656" s="3" t="n">
        <v>1120000</v>
      </c>
      <c r="F656" s="4" t="n">
        <v>85</v>
      </c>
      <c r="G656" s="4" t="n"/>
      <c r="H656" s="4" t="n"/>
      <c r="I656" s="5">
        <f>IFERROR(E656/F656,"")</f>
        <v/>
      </c>
      <c r="J656" s="2" t="n">
        <v>2</v>
      </c>
      <c r="K656" s="2" t="n">
        <v>1</v>
      </c>
      <c r="L656" s="2" t="n"/>
      <c r="M656" s="2" t="n"/>
      <c r="N656" s="2" t="n"/>
      <c r="O656" s="2" t="n"/>
      <c r="P656" s="2" t="inlineStr">
        <is>
          <t>LISTED</t>
        </is>
      </c>
      <c r="Q656" s="2" t="n"/>
      <c r="R656" s="2" t="n"/>
      <c r="S656" s="2" t="n">
        <v>33.59345854373482</v>
      </c>
      <c r="T656" s="2" t="n">
        <v>-7.597387841069466</v>
      </c>
      <c r="U656" s="3" t="n">
        <v>6443</v>
      </c>
      <c r="V656" s="2" t="inlineStr"/>
      <c r="W656" s="6" t="inlineStr">
        <is>
          <t>https://yakeey.com/fr-ma/achat/biens/64537</t>
        </is>
      </c>
    </row>
    <row r="657">
      <c r="A657" t="inlineStr">
        <is>
          <t>64704</t>
        </is>
      </c>
      <c r="B657" t="inlineStr">
        <is>
          <t>APARTMENT</t>
        </is>
      </c>
      <c r="C657" t="inlineStr">
        <is>
          <t>Nouaceur</t>
        </is>
      </c>
      <c r="D657" t="inlineStr">
        <is>
          <t>Casablanca</t>
        </is>
      </c>
      <c r="E657" s="7" t="n">
        <v>1320000</v>
      </c>
      <c r="F657" s="8" t="n">
        <v>116</v>
      </c>
      <c r="G657" s="8" t="n"/>
      <c r="H657" s="8" t="n"/>
      <c r="I657" s="9">
        <f>IFERROR(E657/F657,"")</f>
        <v/>
      </c>
      <c r="J657" t="n">
        <v>3</v>
      </c>
      <c r="K657" t="n">
        <v>1</v>
      </c>
      <c r="P657" t="inlineStr">
        <is>
          <t>LISTED</t>
        </is>
      </c>
      <c r="S657" t="n">
        <v>33.39198720291166</v>
      </c>
      <c r="T657" t="n">
        <v>-7.560712328722913</v>
      </c>
      <c r="U657" s="7" t="n">
        <v>7594</v>
      </c>
      <c r="V657" t="inlineStr"/>
      <c r="W657" s="10" t="inlineStr">
        <is>
          <t>https://yakeey.com/fr-ma/achat/biens/64704</t>
        </is>
      </c>
    </row>
    <row r="658">
      <c r="A658" s="2" t="inlineStr">
        <is>
          <t>65020</t>
        </is>
      </c>
      <c r="B658" s="2" t="inlineStr">
        <is>
          <t>APARTMENT</t>
        </is>
      </c>
      <c r="C658" s="2" t="inlineStr">
        <is>
          <t>Ibn Tachfine</t>
        </is>
      </c>
      <c r="D658" s="2" t="inlineStr">
        <is>
          <t>Casablanca</t>
        </is>
      </c>
      <c r="E658" s="3" t="n">
        <v>925000</v>
      </c>
      <c r="F658" s="4" t="n">
        <v>85</v>
      </c>
      <c r="G658" s="4" t="n"/>
      <c r="H658" s="4" t="n"/>
      <c r="I658" s="5">
        <f>IFERROR(E658/F658,"")</f>
        <v/>
      </c>
      <c r="J658" s="2" t="n">
        <v>2</v>
      </c>
      <c r="K658" s="2" t="n">
        <v>1</v>
      </c>
      <c r="L658" s="2" t="n"/>
      <c r="M658" s="2" t="n"/>
      <c r="N658" s="2" t="n"/>
      <c r="O658" s="2" t="n"/>
      <c r="P658" s="2" t="inlineStr">
        <is>
          <t>LISTED</t>
        </is>
      </c>
      <c r="Q658" s="2" t="n"/>
      <c r="R658" s="2" t="n"/>
      <c r="S658" s="2" t="n">
        <v>33.58622947032104</v>
      </c>
      <c r="T658" s="2" t="n">
        <v>-7.591016842406142</v>
      </c>
      <c r="U658" s="3" t="n">
        <v>5321</v>
      </c>
      <c r="V658" s="2" t="inlineStr"/>
      <c r="W658" s="6" t="inlineStr">
        <is>
          <t>https://yakeey.com/fr-ma/achat/biens/65020</t>
        </is>
      </c>
    </row>
    <row r="659">
      <c r="A659" t="inlineStr">
        <is>
          <t>65303</t>
        </is>
      </c>
      <c r="B659" t="inlineStr">
        <is>
          <t>APARTMENT</t>
        </is>
      </c>
      <c r="C659" t="inlineStr">
        <is>
          <t>Maarif Extension</t>
        </is>
      </c>
      <c r="D659" t="inlineStr">
        <is>
          <t>Casablanca</t>
        </is>
      </c>
      <c r="E659" s="7" t="n">
        <v>2600000</v>
      </c>
      <c r="F659" s="8" t="n">
        <v>162</v>
      </c>
      <c r="G659" s="8" t="n"/>
      <c r="H659" s="8" t="n"/>
      <c r="I659" s="9">
        <f>IFERROR(E659/F659,"")</f>
        <v/>
      </c>
      <c r="J659" t="n">
        <v>3</v>
      </c>
      <c r="K659" t="n">
        <v>2</v>
      </c>
      <c r="P659" t="inlineStr">
        <is>
          <t>LISTED</t>
        </is>
      </c>
      <c r="S659" t="n">
        <v>33.58164848684266</v>
      </c>
      <c r="T659" t="n">
        <v>-7.642604875353061</v>
      </c>
      <c r="U659" s="7" t="n">
        <v>14957</v>
      </c>
      <c r="V659" t="inlineStr"/>
      <c r="W659" s="10" t="inlineStr">
        <is>
          <t>https://yakeey.com/fr-ma/achat/biens/65303</t>
        </is>
      </c>
    </row>
    <row r="660">
      <c r="A660" s="2" t="inlineStr">
        <is>
          <t>65540</t>
        </is>
      </c>
      <c r="B660" s="2" t="inlineStr">
        <is>
          <t>APARTMENT</t>
        </is>
      </c>
      <c r="C660" s="2" t="inlineStr">
        <is>
          <t>Hopitaux</t>
        </is>
      </c>
      <c r="D660" s="2" t="inlineStr">
        <is>
          <t>Casablanca</t>
        </is>
      </c>
      <c r="E660" s="3" t="n">
        <v>1400000</v>
      </c>
      <c r="F660" s="4" t="n">
        <v>110</v>
      </c>
      <c r="G660" s="4" t="n"/>
      <c r="H660" s="4" t="n"/>
      <c r="I660" s="5">
        <f>IFERROR(E660/F660,"")</f>
        <v/>
      </c>
      <c r="J660" s="2" t="n">
        <v>3</v>
      </c>
      <c r="K660" s="2" t="n">
        <v>2</v>
      </c>
      <c r="L660" s="2" t="n"/>
      <c r="M660" s="2" t="n"/>
      <c r="N660" s="2" t="n"/>
      <c r="O660" s="2" t="n"/>
      <c r="P660" s="2" t="inlineStr">
        <is>
          <t>LISTED</t>
        </is>
      </c>
      <c r="Q660" s="2" t="n"/>
      <c r="R660" s="2" t="n"/>
      <c r="S660" s="2" t="n">
        <v>33.58164801646967</v>
      </c>
      <c r="T660" s="2" t="n">
        <v>-7.614839986153637</v>
      </c>
      <c r="U660" s="3" t="n">
        <v>8054</v>
      </c>
      <c r="V660" s="2" t="inlineStr"/>
      <c r="W660" s="6" t="inlineStr">
        <is>
          <t>https://yakeey.com/fr-ma/achat/biens/65540</t>
        </is>
      </c>
    </row>
    <row r="661">
      <c r="A661" t="inlineStr">
        <is>
          <t>65544</t>
        </is>
      </c>
      <c r="B661" t="inlineStr">
        <is>
          <t>APARTMENT</t>
        </is>
      </c>
      <c r="C661" t="inlineStr">
        <is>
          <t>Mers Sultan</t>
        </is>
      </c>
      <c r="D661" t="inlineStr">
        <is>
          <t>Casablanca</t>
        </is>
      </c>
      <c r="E661" s="7" t="n">
        <v>1580000</v>
      </c>
      <c r="F661" s="8" t="n">
        <v>170</v>
      </c>
      <c r="G661" s="8" t="n"/>
      <c r="H661" s="8" t="n"/>
      <c r="I661" s="9">
        <f>IFERROR(E661/F661,"")</f>
        <v/>
      </c>
      <c r="J661" t="n">
        <v>3</v>
      </c>
      <c r="K661" t="n">
        <v>2</v>
      </c>
      <c r="P661" t="inlineStr">
        <is>
          <t>LISTED</t>
        </is>
      </c>
      <c r="S661" t="n">
        <v>33.57586048494562</v>
      </c>
      <c r="T661" t="n">
        <v>-7.61291749189346</v>
      </c>
      <c r="U661" s="7" t="n">
        <v>9089</v>
      </c>
      <c r="V661" t="inlineStr"/>
      <c r="W661" s="10" t="inlineStr">
        <is>
          <t>https://yakeey.com/fr-ma/achat/biens/65544</t>
        </is>
      </c>
    </row>
    <row r="662">
      <c r="A662" s="2" t="inlineStr">
        <is>
          <t>65550</t>
        </is>
      </c>
      <c r="B662" s="2" t="inlineStr">
        <is>
          <t>APARTMENT</t>
        </is>
      </c>
      <c r="C662" s="2" t="inlineStr">
        <is>
          <t>Maarif Extension</t>
        </is>
      </c>
      <c r="D662" s="2" t="inlineStr">
        <is>
          <t>Casablanca</t>
        </is>
      </c>
      <c r="E662" s="3" t="n">
        <v>1250000</v>
      </c>
      <c r="F662" s="4" t="n">
        <v>75</v>
      </c>
      <c r="G662" s="4" t="n"/>
      <c r="H662" s="4" t="n"/>
      <c r="I662" s="5">
        <f>IFERROR(E662/F662,"")</f>
        <v/>
      </c>
      <c r="J662" s="2" t="n">
        <v>2</v>
      </c>
      <c r="K662" s="2" t="n">
        <v>1</v>
      </c>
      <c r="L662" s="2" t="n"/>
      <c r="M662" s="2" t="n"/>
      <c r="N662" s="2" t="n"/>
      <c r="O662" s="2" t="n"/>
      <c r="P662" s="2" t="inlineStr">
        <is>
          <t>LISTED</t>
        </is>
      </c>
      <c r="Q662" s="2" t="n"/>
      <c r="R662" s="2" t="n"/>
      <c r="S662" s="2" t="n">
        <v>33.57858203998632</v>
      </c>
      <c r="T662" s="2" t="n">
        <v>-7.639745879015166</v>
      </c>
      <c r="U662" s="3" t="n">
        <v>7191</v>
      </c>
      <c r="V662" s="2" t="inlineStr"/>
      <c r="W662" s="6" t="inlineStr">
        <is>
          <t>https://yakeey.com/fr-ma/achat/biens/65550</t>
        </is>
      </c>
    </row>
    <row r="663">
      <c r="A663" t="inlineStr">
        <is>
          <t>66413</t>
        </is>
      </c>
      <c r="B663" t="inlineStr">
        <is>
          <t>APARTMENT</t>
        </is>
      </c>
      <c r="C663" t="inlineStr">
        <is>
          <t>Derb Ghalef</t>
        </is>
      </c>
      <c r="D663" t="inlineStr">
        <is>
          <t>Casablanca</t>
        </is>
      </c>
      <c r="E663" s="7" t="n">
        <v>1150000</v>
      </c>
      <c r="F663" s="8" t="n">
        <v>98</v>
      </c>
      <c r="G663" s="8" t="n"/>
      <c r="H663" s="8" t="n"/>
      <c r="I663" s="9">
        <f>IFERROR(E663/F663,"")</f>
        <v/>
      </c>
      <c r="J663" t="n">
        <v>2</v>
      </c>
      <c r="K663" t="n">
        <v>1</v>
      </c>
      <c r="P663" t="inlineStr">
        <is>
          <t>LISTED</t>
        </is>
      </c>
      <c r="S663" t="n">
        <v>33.57005034609039</v>
      </c>
      <c r="T663" t="n">
        <v>-7.625559120207242</v>
      </c>
      <c r="U663" s="7" t="n">
        <v>6616</v>
      </c>
      <c r="V663" t="inlineStr"/>
      <c r="W663" s="10" t="inlineStr">
        <is>
          <t>https://yakeey.com/fr-ma/achat/biens/66413</t>
        </is>
      </c>
    </row>
    <row r="664">
      <c r="A664" s="2" t="inlineStr">
        <is>
          <t>66537</t>
        </is>
      </c>
      <c r="B664" s="2" t="inlineStr">
        <is>
          <t>APARTMENT</t>
        </is>
      </c>
      <c r="C664" s="2" t="inlineStr">
        <is>
          <t>Ibn Tachfine</t>
        </is>
      </c>
      <c r="D664" s="2" t="inlineStr">
        <is>
          <t>Casablanca</t>
        </is>
      </c>
      <c r="E664" s="3" t="n">
        <v>900000</v>
      </c>
      <c r="F664" s="4" t="n">
        <v>86</v>
      </c>
      <c r="G664" s="4" t="n"/>
      <c r="H664" s="4" t="n"/>
      <c r="I664" s="5">
        <f>IFERROR(E664/F664,"")</f>
        <v/>
      </c>
      <c r="J664" s="2" t="n">
        <v>3</v>
      </c>
      <c r="K664" s="2" t="n">
        <v>2</v>
      </c>
      <c r="L664" s="2" t="n"/>
      <c r="M664" s="2" t="n"/>
      <c r="N664" s="2" t="n"/>
      <c r="O664" s="2" t="n"/>
      <c r="P664" s="2" t="inlineStr">
        <is>
          <t>LISTED</t>
        </is>
      </c>
      <c r="Q664" s="2" t="n"/>
      <c r="R664" s="2" t="n"/>
      <c r="S664" s="2" t="n">
        <v>33.58546973059055</v>
      </c>
      <c r="T664" s="2" t="n">
        <v>-7.587888173183362</v>
      </c>
      <c r="U664" s="3" t="n">
        <v>5177</v>
      </c>
      <c r="V664" s="2" t="inlineStr"/>
      <c r="W664" s="6" t="inlineStr">
        <is>
          <t>https://yakeey.com/fr-ma/achat/biens/66537</t>
        </is>
      </c>
    </row>
    <row r="665">
      <c r="A665" t="inlineStr">
        <is>
          <t>66644</t>
        </is>
      </c>
      <c r="B665" t="inlineStr">
        <is>
          <t>APARTMENT</t>
        </is>
      </c>
      <c r="C665" t="inlineStr">
        <is>
          <t>Plateau</t>
        </is>
      </c>
      <c r="D665" t="inlineStr">
        <is>
          <t>Casablanca</t>
        </is>
      </c>
      <c r="E665" s="7" t="n">
        <v>3200000</v>
      </c>
      <c r="F665" s="8" t="n">
        <v>277</v>
      </c>
      <c r="G665" s="8" t="n"/>
      <c r="H665" s="8" t="n"/>
      <c r="I665" s="9">
        <f>IFERROR(E665/F665,"")</f>
        <v/>
      </c>
      <c r="J665" t="n">
        <v>4</v>
      </c>
      <c r="K665" t="n">
        <v>2</v>
      </c>
      <c r="P665" t="inlineStr">
        <is>
          <t>LISTED</t>
        </is>
      </c>
      <c r="S665" t="n">
        <v>33.57622066680405</v>
      </c>
      <c r="T665" t="n">
        <v>-7.634798995377247</v>
      </c>
      <c r="U665" s="7" t="n">
        <v>18409</v>
      </c>
      <c r="V665" t="inlineStr"/>
      <c r="W665" s="10" t="inlineStr">
        <is>
          <t>https://yakeey.com/fr-ma/achat/biens/66644</t>
        </is>
      </c>
    </row>
    <row r="666">
      <c r="A666" s="2" t="inlineStr">
        <is>
          <t>6687</t>
        </is>
      </c>
      <c r="B666" s="2" t="inlineStr">
        <is>
          <t>APARTMENT</t>
        </is>
      </c>
      <c r="C666" s="2" t="inlineStr">
        <is>
          <t>Liberte</t>
        </is>
      </c>
      <c r="D666" s="2" t="inlineStr">
        <is>
          <t>Casablanca</t>
        </is>
      </c>
      <c r="E666" s="3" t="n">
        <v>1100000</v>
      </c>
      <c r="F666" s="4" t="n">
        <v>100</v>
      </c>
      <c r="G666" s="4" t="n"/>
      <c r="H666" s="4" t="n"/>
      <c r="I666" s="5">
        <f>IFERROR(E666/F666,"")</f>
        <v/>
      </c>
      <c r="J666" s="2" t="n">
        <v>2</v>
      </c>
      <c r="K666" s="2" t="n">
        <v>1</v>
      </c>
      <c r="L666" s="2" t="n"/>
      <c r="M666" s="2" t="n"/>
      <c r="N666" s="2" t="n"/>
      <c r="O666" s="2" t="n"/>
      <c r="P666" s="2" t="inlineStr">
        <is>
          <t>LISTED</t>
        </is>
      </c>
      <c r="Q666" s="2" t="n"/>
      <c r="R666" s="2" t="n"/>
      <c r="S666" s="2" t="n">
        <v>33.58476527857917</v>
      </c>
      <c r="T666" s="2" t="n">
        <v>-7.61307335872486</v>
      </c>
      <c r="U666" s="3" t="n">
        <v>6328</v>
      </c>
      <c r="V666" s="2" t="inlineStr"/>
      <c r="W666" s="6" t="inlineStr">
        <is>
          <t>https://yakeey.com/fr-ma/achat/biens/6687</t>
        </is>
      </c>
    </row>
    <row r="667">
      <c r="A667" t="inlineStr">
        <is>
          <t>68492</t>
        </is>
      </c>
      <c r="B667" t="inlineStr">
        <is>
          <t>APARTMENT</t>
        </is>
      </c>
      <c r="C667" t="inlineStr">
        <is>
          <t>Hopitaux</t>
        </is>
      </c>
      <c r="D667" t="inlineStr">
        <is>
          <t>Casablanca</t>
        </is>
      </c>
      <c r="E667" s="7" t="n">
        <v>1600000</v>
      </c>
      <c r="F667" s="8" t="n">
        <v>133</v>
      </c>
      <c r="G667" s="8" t="n"/>
      <c r="H667" s="8" t="n"/>
      <c r="I667" s="9">
        <f>IFERROR(E667/F667,"")</f>
        <v/>
      </c>
      <c r="J667" t="n">
        <v>3</v>
      </c>
      <c r="K667" t="n">
        <v>2</v>
      </c>
      <c r="P667" t="inlineStr">
        <is>
          <t>LISTED</t>
        </is>
      </c>
      <c r="S667" t="n">
        <v>33.58035492596088</v>
      </c>
      <c r="T667" t="n">
        <v>-7.615062760885487</v>
      </c>
      <c r="U667" s="7" t="n">
        <v>9204</v>
      </c>
      <c r="V667" t="inlineStr"/>
      <c r="W667" s="10" t="inlineStr">
        <is>
          <t>https://yakeey.com/fr-ma/achat/biens/68492</t>
        </is>
      </c>
    </row>
    <row r="668">
      <c r="A668" s="2" t="inlineStr">
        <is>
          <t>6879</t>
        </is>
      </c>
      <c r="B668" s="2" t="inlineStr">
        <is>
          <t>APARTMENT</t>
        </is>
      </c>
      <c r="C668" s="2" t="inlineStr">
        <is>
          <t>Maarif Extension</t>
        </is>
      </c>
      <c r="D668" s="2" t="inlineStr">
        <is>
          <t>Casablanca</t>
        </is>
      </c>
      <c r="E668" s="3" t="n">
        <v>1190000</v>
      </c>
      <c r="F668" s="4" t="n">
        <v>79</v>
      </c>
      <c r="G668" s="4" t="n"/>
      <c r="H668" s="4" t="n"/>
      <c r="I668" s="5">
        <f>IFERROR(E668/F668,"")</f>
        <v/>
      </c>
      <c r="J668" s="2" t="n">
        <v>2</v>
      </c>
      <c r="K668" s="2" t="n">
        <v>1</v>
      </c>
      <c r="L668" s="2" t="n"/>
      <c r="M668" s="2" t="n"/>
      <c r="N668" s="2" t="n"/>
      <c r="O668" s="2" t="n"/>
      <c r="P668" s="2" t="inlineStr">
        <is>
          <t>LISTED</t>
        </is>
      </c>
      <c r="Q668" s="2" t="n"/>
      <c r="R668" s="2" t="n"/>
      <c r="S668" s="2" t="n">
        <v>33.57951453320536</v>
      </c>
      <c r="T668" s="2" t="n">
        <v>-7.640912248788513</v>
      </c>
      <c r="U668" s="3" t="n">
        <v>6846</v>
      </c>
      <c r="V668" s="2" t="inlineStr"/>
      <c r="W668" s="6" t="inlineStr">
        <is>
          <t>https://yakeey.com/fr-ma/achat/biens/6879</t>
        </is>
      </c>
    </row>
    <row r="669">
      <c r="A669" t="inlineStr">
        <is>
          <t>68880</t>
        </is>
      </c>
      <c r="B669" t="inlineStr">
        <is>
          <t>APARTMENT</t>
        </is>
      </c>
      <c r="C669" t="inlineStr">
        <is>
          <t>Lissasfa</t>
        </is>
      </c>
      <c r="D669" t="inlineStr">
        <is>
          <t>Casablanca</t>
        </is>
      </c>
      <c r="E669" s="7" t="n">
        <v>850000</v>
      </c>
      <c r="F669" s="8" t="n">
        <v>64</v>
      </c>
      <c r="G669" s="8" t="n"/>
      <c r="H669" s="8" t="n"/>
      <c r="I669" s="9">
        <f>IFERROR(E669/F669,"")</f>
        <v/>
      </c>
      <c r="J669" t="n">
        <v>2</v>
      </c>
      <c r="K669" t="n">
        <v>1</v>
      </c>
      <c r="P669" t="inlineStr">
        <is>
          <t>LISTED</t>
        </is>
      </c>
      <c r="S669" t="n">
        <v>33.53812586068037</v>
      </c>
      <c r="T669" t="n">
        <v>-7.672673359753571</v>
      </c>
      <c r="U669" s="7" t="n">
        <v>4890</v>
      </c>
      <c r="V669" t="inlineStr"/>
      <c r="W669" s="10" t="inlineStr">
        <is>
          <t>https://yakeey.com/fr-ma/achat/biens/68880</t>
        </is>
      </c>
    </row>
    <row r="670">
      <c r="A670" s="2" t="inlineStr">
        <is>
          <t>69341</t>
        </is>
      </c>
      <c r="B670" s="2" t="inlineStr">
        <is>
          <t>APARTMENT</t>
        </is>
      </c>
      <c r="C670" s="2" t="inlineStr">
        <is>
          <t>Les Princesses</t>
        </is>
      </c>
      <c r="D670" s="2" t="inlineStr">
        <is>
          <t>Casablanca</t>
        </is>
      </c>
      <c r="E670" s="3" t="n">
        <v>1100000</v>
      </c>
      <c r="F670" s="4" t="n">
        <v>91</v>
      </c>
      <c r="G670" s="4" t="n"/>
      <c r="H670" s="4" t="n"/>
      <c r="I670" s="5">
        <f>IFERROR(E670/F670,"")</f>
        <v/>
      </c>
      <c r="J670" s="2" t="n">
        <v>2</v>
      </c>
      <c r="K670" s="2" t="n">
        <v>1</v>
      </c>
      <c r="L670" s="2" t="n"/>
      <c r="M670" s="2" t="n"/>
      <c r="N670" s="2" t="n"/>
      <c r="O670" s="2" t="n"/>
      <c r="P670" s="2" t="inlineStr">
        <is>
          <t>LISTED</t>
        </is>
      </c>
      <c r="Q670" s="2" t="n"/>
      <c r="R670" s="2" t="n"/>
      <c r="S670" s="2" t="n">
        <v>33.57341210855831</v>
      </c>
      <c r="T670" s="2" t="n">
        <v>-7.647069228691247</v>
      </c>
      <c r="U670" s="3" t="n">
        <v>6328</v>
      </c>
      <c r="V670" s="2" t="inlineStr"/>
      <c r="W670" s="6" t="inlineStr">
        <is>
          <t>https://yakeey.com/fr-ma/achat/biens/69341</t>
        </is>
      </c>
    </row>
    <row r="671">
      <c r="A671" t="inlineStr">
        <is>
          <t>6935</t>
        </is>
      </c>
      <c r="B671" t="inlineStr">
        <is>
          <t>APARTMENT</t>
        </is>
      </c>
      <c r="C671" t="inlineStr">
        <is>
          <t>Plateau</t>
        </is>
      </c>
      <c r="D671" t="inlineStr">
        <is>
          <t>Casablanca</t>
        </is>
      </c>
      <c r="E671" s="7" t="n">
        <v>1600000</v>
      </c>
      <c r="F671" s="8" t="n">
        <v>166</v>
      </c>
      <c r="G671" s="8" t="n"/>
      <c r="H671" s="8" t="n"/>
      <c r="I671" s="9">
        <f>IFERROR(E671/F671,"")</f>
        <v/>
      </c>
      <c r="J671" t="n">
        <v>2</v>
      </c>
      <c r="K671" t="n">
        <v>2</v>
      </c>
      <c r="P671" t="inlineStr">
        <is>
          <t>LISTED</t>
        </is>
      </c>
      <c r="S671" t="n">
        <v>33.56628985100826</v>
      </c>
      <c r="T671" t="n">
        <v>-7.630348520053397</v>
      </c>
      <c r="U671" s="7" t="n">
        <v>9204</v>
      </c>
      <c r="V671" t="inlineStr"/>
      <c r="W671" s="10" t="inlineStr">
        <is>
          <t>https://yakeey.com/fr-ma/achat/biens/6935</t>
        </is>
      </c>
    </row>
    <row r="672">
      <c r="A672" s="2" t="inlineStr">
        <is>
          <t>69713</t>
        </is>
      </c>
      <c r="B672" s="2" t="inlineStr">
        <is>
          <t>APARTMENT</t>
        </is>
      </c>
      <c r="C672" s="2" t="inlineStr">
        <is>
          <t>Gauthier</t>
        </is>
      </c>
      <c r="D672" s="2" t="inlineStr">
        <is>
          <t>Casablanca</t>
        </is>
      </c>
      <c r="E672" s="3" t="n">
        <v>2800000</v>
      </c>
      <c r="F672" s="4" t="n">
        <v>172</v>
      </c>
      <c r="G672" s="4" t="n"/>
      <c r="H672" s="4" t="n"/>
      <c r="I672" s="5">
        <f>IFERROR(E672/F672,"")</f>
        <v/>
      </c>
      <c r="J672" s="2" t="n">
        <v>3</v>
      </c>
      <c r="K672" s="2" t="n">
        <v>2</v>
      </c>
      <c r="L672" s="2" t="n"/>
      <c r="M672" s="2" t="n"/>
      <c r="N672" s="2" t="n"/>
      <c r="O672" s="2" t="n"/>
      <c r="P672" s="2" t="inlineStr">
        <is>
          <t>LISTED</t>
        </is>
      </c>
      <c r="Q672" s="2" t="n"/>
      <c r="R672" s="2" t="n"/>
      <c r="S672" s="2" t="n">
        <v>33.59071050310776</v>
      </c>
      <c r="T672" s="2" t="n">
        <v>-7.634159927743691</v>
      </c>
      <c r="U672" s="3" t="n">
        <v>16108</v>
      </c>
      <c r="V672" s="2" t="inlineStr"/>
      <c r="W672" s="6" t="inlineStr">
        <is>
          <t>https://yakeey.com/fr-ma/achat/biens/69713</t>
        </is>
      </c>
    </row>
    <row r="673">
      <c r="A673" t="inlineStr">
        <is>
          <t>70083</t>
        </is>
      </c>
      <c r="B673" t="inlineStr">
        <is>
          <t>APARTMENT</t>
        </is>
      </c>
      <c r="C673" t="inlineStr">
        <is>
          <t>Oulfa</t>
        </is>
      </c>
      <c r="D673" t="inlineStr">
        <is>
          <t>Casablanca</t>
        </is>
      </c>
      <c r="E673" s="7" t="n">
        <v>1270000</v>
      </c>
      <c r="F673" s="8" t="n">
        <v>108</v>
      </c>
      <c r="G673" s="8" t="n"/>
      <c r="H673" s="8" t="n"/>
      <c r="I673" s="9">
        <f>IFERROR(E673/F673,"")</f>
        <v/>
      </c>
      <c r="J673" t="n">
        <v>2</v>
      </c>
      <c r="K673" t="n">
        <v>1</v>
      </c>
      <c r="P673" t="inlineStr">
        <is>
          <t>LISTED</t>
        </is>
      </c>
      <c r="S673" t="n">
        <v>33.55729394189534</v>
      </c>
      <c r="T673" t="n">
        <v>-7.673929910764592</v>
      </c>
      <c r="U673" s="7" t="n">
        <v>7306</v>
      </c>
      <c r="V673" t="inlineStr"/>
      <c r="W673" s="10" t="inlineStr">
        <is>
          <t>https://yakeey.com/fr-ma/achat/biens/70083</t>
        </is>
      </c>
    </row>
    <row r="674">
      <c r="A674" s="2" t="inlineStr">
        <is>
          <t>7013</t>
        </is>
      </c>
      <c r="B674" s="2" t="inlineStr">
        <is>
          <t>APARTMENT</t>
        </is>
      </c>
      <c r="C674" s="2" t="inlineStr">
        <is>
          <t>La Gironde</t>
        </is>
      </c>
      <c r="D674" s="2" t="inlineStr">
        <is>
          <t>Casablanca</t>
        </is>
      </c>
      <c r="E674" s="3" t="n">
        <v>1000000</v>
      </c>
      <c r="F674" s="4" t="n">
        <v>108</v>
      </c>
      <c r="G674" s="4" t="n"/>
      <c r="H674" s="4" t="n"/>
      <c r="I674" s="5">
        <f>IFERROR(E674/F674,"")</f>
        <v/>
      </c>
      <c r="J674" s="2" t="n">
        <v>2</v>
      </c>
      <c r="K674" s="2" t="n">
        <v>2</v>
      </c>
      <c r="L674" s="2" t="n"/>
      <c r="M674" s="2" t="n"/>
      <c r="N674" s="2" t="n"/>
      <c r="O674" s="2" t="n"/>
      <c r="P674" s="2" t="inlineStr">
        <is>
          <t>LISTED</t>
        </is>
      </c>
      <c r="Q674" s="2" t="n"/>
      <c r="R674" s="2" t="n"/>
      <c r="S674" s="2" t="n">
        <v>33.58320041496051</v>
      </c>
      <c r="T674" s="2" t="n">
        <v>-7.598757350652681</v>
      </c>
      <c r="U674" s="3" t="n">
        <v>5753</v>
      </c>
      <c r="V674" s="2" t="inlineStr"/>
      <c r="W674" s="6" t="inlineStr">
        <is>
          <t>https://yakeey.com/fr-ma/achat/biens/7013</t>
        </is>
      </c>
    </row>
    <row r="675">
      <c r="A675" t="inlineStr">
        <is>
          <t>7050</t>
        </is>
      </c>
      <c r="B675" t="inlineStr">
        <is>
          <t>APARTMENT</t>
        </is>
      </c>
      <c r="C675" t="inlineStr">
        <is>
          <t>Derb Ghalef</t>
        </is>
      </c>
      <c r="D675" t="inlineStr">
        <is>
          <t>Casablanca</t>
        </is>
      </c>
      <c r="E675" s="7" t="n">
        <v>2250000</v>
      </c>
      <c r="F675" s="8" t="n">
        <v>161</v>
      </c>
      <c r="G675" s="8" t="n"/>
      <c r="H675" s="8" t="n"/>
      <c r="I675" s="9">
        <f>IFERROR(E675/F675,"")</f>
        <v/>
      </c>
      <c r="J675" t="n">
        <v>3</v>
      </c>
      <c r="K675" t="n">
        <v>1</v>
      </c>
      <c r="P675" t="inlineStr">
        <is>
          <t>LISTED</t>
        </is>
      </c>
      <c r="S675" t="n">
        <v>33.57080237191723</v>
      </c>
      <c r="T675" t="n">
        <v>-7.625519420875685</v>
      </c>
      <c r="U675" s="7" t="n">
        <v>12944</v>
      </c>
      <c r="V675" t="inlineStr"/>
      <c r="W675" s="10" t="inlineStr">
        <is>
          <t>https://yakeey.com/fr-ma/achat/biens/7050</t>
        </is>
      </c>
    </row>
    <row r="676">
      <c r="A676" s="2" t="inlineStr">
        <is>
          <t>70762</t>
        </is>
      </c>
      <c r="B676" s="2" t="inlineStr">
        <is>
          <t>APARTMENT</t>
        </is>
      </c>
      <c r="C676" s="2" t="inlineStr">
        <is>
          <t>Liberte</t>
        </is>
      </c>
      <c r="D676" s="2" t="inlineStr">
        <is>
          <t>Casablanca</t>
        </is>
      </c>
      <c r="E676" s="3" t="n">
        <v>2700000</v>
      </c>
      <c r="F676" s="4" t="n">
        <v>250</v>
      </c>
      <c r="G676" s="4" t="n"/>
      <c r="H676" s="4" t="n"/>
      <c r="I676" s="5">
        <f>IFERROR(E676/F676,"")</f>
        <v/>
      </c>
      <c r="J676" s="2" t="n">
        <v>3</v>
      </c>
      <c r="K676" s="2" t="n">
        <v>2</v>
      </c>
      <c r="L676" s="2" t="n"/>
      <c r="M676" s="2" t="n"/>
      <c r="N676" s="2" t="n"/>
      <c r="O676" s="2" t="n"/>
      <c r="P676" s="2" t="inlineStr">
        <is>
          <t>LISTED</t>
        </is>
      </c>
      <c r="Q676" s="2" t="n"/>
      <c r="R676" s="2" t="n"/>
      <c r="S676" s="2" t="n">
        <v>33.58294196674102</v>
      </c>
      <c r="T676" s="2" t="n">
        <v>-7.611284942897478</v>
      </c>
      <c r="U676" s="3" t="n">
        <v>15533</v>
      </c>
      <c r="V676" s="2" t="inlineStr"/>
      <c r="W676" s="6" t="inlineStr">
        <is>
          <t>https://yakeey.com/fr-ma/achat/biens/70762</t>
        </is>
      </c>
    </row>
    <row r="677">
      <c r="A677" t="inlineStr">
        <is>
          <t>71236</t>
        </is>
      </c>
      <c r="B677" t="inlineStr">
        <is>
          <t>APARTMENT</t>
        </is>
      </c>
      <c r="C677" t="inlineStr">
        <is>
          <t>Cil</t>
        </is>
      </c>
      <c r="D677" t="inlineStr">
        <is>
          <t>Casablanca</t>
        </is>
      </c>
      <c r="E677" s="7" t="n">
        <v>1410000</v>
      </c>
      <c r="F677" s="8" t="n">
        <v>94</v>
      </c>
      <c r="G677" s="8" t="n"/>
      <c r="H677" s="8" t="n"/>
      <c r="I677" s="9">
        <f>IFERROR(E677/F677,"")</f>
        <v/>
      </c>
      <c r="J677" t="n">
        <v>2</v>
      </c>
      <c r="K677" t="n">
        <v>1</v>
      </c>
      <c r="P677" t="inlineStr">
        <is>
          <t>LISTED</t>
        </is>
      </c>
      <c r="S677" t="n">
        <v>33.57080853388927</v>
      </c>
      <c r="T677" t="n">
        <v>-7.652033382241043</v>
      </c>
      <c r="U677" s="7" t="n">
        <v>8111</v>
      </c>
      <c r="V677" t="inlineStr"/>
      <c r="W677" s="10" t="inlineStr">
        <is>
          <t>https://yakeey.com/fr-ma/achat/biens/71236</t>
        </is>
      </c>
    </row>
    <row r="678">
      <c r="A678" s="2" t="inlineStr">
        <is>
          <t>7149</t>
        </is>
      </c>
      <c r="B678" s="2" t="inlineStr">
        <is>
          <t>APARTMENT</t>
        </is>
      </c>
      <c r="C678" s="2" t="inlineStr">
        <is>
          <t>Bourgogne (Anfa)</t>
        </is>
      </c>
      <c r="D678" s="2" t="inlineStr">
        <is>
          <t>Casablanca</t>
        </is>
      </c>
      <c r="E678" s="3" t="n">
        <v>1450000</v>
      </c>
      <c r="F678" s="4" t="n">
        <v>120</v>
      </c>
      <c r="G678" s="4" t="n"/>
      <c r="H678" s="4" t="n"/>
      <c r="I678" s="5">
        <f>IFERROR(E678/F678,"")</f>
        <v/>
      </c>
      <c r="J678" s="2" t="n">
        <v>2</v>
      </c>
      <c r="K678" s="2" t="n">
        <v>2</v>
      </c>
      <c r="L678" s="2" t="n"/>
      <c r="M678" s="2" t="n"/>
      <c r="N678" s="2" t="n"/>
      <c r="O678" s="2" t="n"/>
      <c r="P678" s="2" t="inlineStr">
        <is>
          <t>LISTED</t>
        </is>
      </c>
      <c r="Q678" s="2" t="n"/>
      <c r="R678" s="2" t="n"/>
      <c r="S678" s="2" t="n">
        <v>33.59590755648543</v>
      </c>
      <c r="T678" s="2" t="n">
        <v>-7.641309019939962</v>
      </c>
      <c r="U678" s="3" t="n">
        <v>8341</v>
      </c>
      <c r="V678" s="2" t="inlineStr"/>
      <c r="W678" s="6" t="inlineStr">
        <is>
          <t>https://yakeey.com/fr-ma/achat/biens/7149</t>
        </is>
      </c>
    </row>
    <row r="679">
      <c r="A679" t="inlineStr">
        <is>
          <t>72696</t>
        </is>
      </c>
      <c r="B679" t="inlineStr">
        <is>
          <t>APARTMENT</t>
        </is>
      </c>
      <c r="C679" t="inlineStr">
        <is>
          <t>Belvedere (Roches Noires)</t>
        </is>
      </c>
      <c r="D679" t="inlineStr">
        <is>
          <t>Casablanca</t>
        </is>
      </c>
      <c r="E679" s="7" t="n">
        <v>1260000</v>
      </c>
      <c r="F679" s="8" t="n">
        <v>105</v>
      </c>
      <c r="G679" s="8" t="n"/>
      <c r="H679" s="8" t="n"/>
      <c r="I679" s="9">
        <f>IFERROR(E679/F679,"")</f>
        <v/>
      </c>
      <c r="J679" t="n">
        <v>3</v>
      </c>
      <c r="K679" t="n">
        <v>2</v>
      </c>
      <c r="P679" t="inlineStr">
        <is>
          <t>LISTED</t>
        </is>
      </c>
      <c r="S679" t="n">
        <v>33.58819459528608</v>
      </c>
      <c r="T679" t="n">
        <v>-7.594461195244554</v>
      </c>
      <c r="U679" s="7" t="n">
        <v>7248</v>
      </c>
      <c r="V679" t="inlineStr"/>
      <c r="W679" s="10" t="inlineStr">
        <is>
          <t>https://yakeey.com/fr-ma/achat/biens/72696</t>
        </is>
      </c>
    </row>
    <row r="680">
      <c r="A680" s="2" t="inlineStr">
        <is>
          <t>72938</t>
        </is>
      </c>
      <c r="B680" s="2" t="inlineStr">
        <is>
          <t>APARTMENT</t>
        </is>
      </c>
      <c r="C680" s="2" t="inlineStr">
        <is>
          <t>Oulfa</t>
        </is>
      </c>
      <c r="D680" s="2" t="inlineStr">
        <is>
          <t>Casablanca</t>
        </is>
      </c>
      <c r="E680" s="3" t="n">
        <v>930000</v>
      </c>
      <c r="F680" s="4" t="n">
        <v>126</v>
      </c>
      <c r="G680" s="4" t="n"/>
      <c r="H680" s="4" t="n"/>
      <c r="I680" s="5">
        <f>IFERROR(E680/F680,"")</f>
        <v/>
      </c>
      <c r="J680" s="2" t="n">
        <v>4</v>
      </c>
      <c r="K680" s="2" t="n">
        <v>1</v>
      </c>
      <c r="L680" s="2" t="n"/>
      <c r="M680" s="2" t="n"/>
      <c r="N680" s="2" t="n"/>
      <c r="O680" s="2" t="n"/>
      <c r="P680" s="2" t="inlineStr">
        <is>
          <t>LISTED</t>
        </is>
      </c>
      <c r="Q680" s="2" t="n"/>
      <c r="R680" s="2" t="n"/>
      <c r="S680" s="2" t="n">
        <v>33.54345072254588</v>
      </c>
      <c r="T680" s="2" t="n">
        <v>-7.681576929416075</v>
      </c>
      <c r="U680" s="3" t="n">
        <v>5350</v>
      </c>
      <c r="V680" s="2" t="inlineStr"/>
      <c r="W680" s="6" t="inlineStr">
        <is>
          <t>https://yakeey.com/fr-ma/achat/biens/72938</t>
        </is>
      </c>
    </row>
    <row r="681">
      <c r="A681" t="inlineStr">
        <is>
          <t>74263</t>
        </is>
      </c>
      <c r="B681" t="inlineStr">
        <is>
          <t>APARTMENT</t>
        </is>
      </c>
      <c r="C681" t="inlineStr">
        <is>
          <t>Racine</t>
        </is>
      </c>
      <c r="D681" t="inlineStr">
        <is>
          <t>Casablanca</t>
        </is>
      </c>
      <c r="E681" s="7" t="n">
        <v>2000000</v>
      </c>
      <c r="F681" s="8" t="n">
        <v>116</v>
      </c>
      <c r="G681" s="8" t="n"/>
      <c r="H681" s="8" t="n"/>
      <c r="I681" s="9">
        <f>IFERROR(E681/F681,"")</f>
        <v/>
      </c>
      <c r="J681" t="n">
        <v>2</v>
      </c>
      <c r="K681" t="n">
        <v>3</v>
      </c>
      <c r="P681" t="inlineStr">
        <is>
          <t>LISTED</t>
        </is>
      </c>
      <c r="S681" t="n">
        <v>33.5907822120564</v>
      </c>
      <c r="T681" t="n">
        <v>-7.636529440414589</v>
      </c>
      <c r="U681" s="7" t="n">
        <v>11506</v>
      </c>
      <c r="V681" t="inlineStr"/>
      <c r="W681" s="10" t="inlineStr">
        <is>
          <t>https://yakeey.com/fr-ma/achat/biens/74263</t>
        </is>
      </c>
    </row>
    <row r="682">
      <c r="A682" s="2" t="inlineStr">
        <is>
          <t>74596</t>
        </is>
      </c>
      <c r="B682" s="2" t="inlineStr">
        <is>
          <t>APARTMENT</t>
        </is>
      </c>
      <c r="C682" s="2" t="inlineStr">
        <is>
          <t>Hopitaux</t>
        </is>
      </c>
      <c r="D682" s="2" t="inlineStr">
        <is>
          <t>Casablanca</t>
        </is>
      </c>
      <c r="E682" s="3" t="n">
        <v>1400000</v>
      </c>
      <c r="F682" s="4" t="n">
        <v>132</v>
      </c>
      <c r="G682" s="4" t="n"/>
      <c r="H682" s="4" t="n"/>
      <c r="I682" s="5">
        <f>IFERROR(E682/F682,"")</f>
        <v/>
      </c>
      <c r="J682" s="2" t="n">
        <v>2</v>
      </c>
      <c r="K682" s="2" t="n">
        <v>1</v>
      </c>
      <c r="L682" s="2" t="n"/>
      <c r="M682" s="2" t="n"/>
      <c r="N682" s="2" t="n"/>
      <c r="O682" s="2" t="n"/>
      <c r="P682" s="2" t="inlineStr">
        <is>
          <t>LISTED</t>
        </is>
      </c>
      <c r="Q682" s="2" t="n"/>
      <c r="R682" s="2" t="n"/>
      <c r="S682" s="2" t="n">
        <v>33.57337065612867</v>
      </c>
      <c r="T682" s="2" t="n">
        <v>-7.624891629717215</v>
      </c>
      <c r="U682" s="3" t="n">
        <v>8054</v>
      </c>
      <c r="V682" s="2" t="inlineStr"/>
      <c r="W682" s="6" t="inlineStr">
        <is>
          <t>https://yakeey.com/fr-ma/achat/biens/74596</t>
        </is>
      </c>
    </row>
    <row r="683">
      <c r="A683" t="inlineStr">
        <is>
          <t>74814</t>
        </is>
      </c>
      <c r="B683" t="inlineStr">
        <is>
          <t>APARTMENT</t>
        </is>
      </c>
      <c r="C683" t="inlineStr">
        <is>
          <t>Les Princesses</t>
        </is>
      </c>
      <c r="D683" t="inlineStr">
        <is>
          <t>Casablanca</t>
        </is>
      </c>
      <c r="E683" s="7" t="n">
        <v>2104889</v>
      </c>
      <c r="F683" s="8" t="n">
        <v>143</v>
      </c>
      <c r="G683" s="8" t="n"/>
      <c r="H683" s="8" t="n"/>
      <c r="I683" s="9">
        <f>IFERROR(E683/F683,"")</f>
        <v/>
      </c>
      <c r="J683" t="n">
        <v>3</v>
      </c>
      <c r="K683" t="n">
        <v>2</v>
      </c>
      <c r="P683" t="inlineStr">
        <is>
          <t>LISTED</t>
        </is>
      </c>
      <c r="S683" t="n">
        <v>33.57733953949538</v>
      </c>
      <c r="T683" t="n">
        <v>-7.649052868946042</v>
      </c>
      <c r="U683" s="7" t="n">
        <v>12109</v>
      </c>
      <c r="V683" t="inlineStr"/>
      <c r="W683" s="10" t="inlineStr">
        <is>
          <t>https://yakeey.com/fr-ma/achat/biens/74814</t>
        </is>
      </c>
    </row>
    <row r="684">
      <c r="A684" s="2" t="inlineStr">
        <is>
          <t>75185</t>
        </is>
      </c>
      <c r="B684" s="2" t="inlineStr">
        <is>
          <t>APARTMENT</t>
        </is>
      </c>
      <c r="C684" s="2" t="inlineStr">
        <is>
          <t>Plateau</t>
        </is>
      </c>
      <c r="D684" s="2" t="inlineStr">
        <is>
          <t>Casablanca</t>
        </is>
      </c>
      <c r="E684" s="3" t="n">
        <v>1600000</v>
      </c>
      <c r="F684" s="4" t="n">
        <v>129</v>
      </c>
      <c r="G684" s="4" t="n"/>
      <c r="H684" s="4" t="n"/>
      <c r="I684" s="5">
        <f>IFERROR(E684/F684,"")</f>
        <v/>
      </c>
      <c r="J684" s="2" t="n">
        <v>3</v>
      </c>
      <c r="K684" s="2" t="n">
        <v>2</v>
      </c>
      <c r="L684" s="2" t="n"/>
      <c r="M684" s="2" t="n"/>
      <c r="N684" s="2" t="n"/>
      <c r="O684" s="2" t="n"/>
      <c r="P684" s="2" t="inlineStr">
        <is>
          <t>SOLD_OUT</t>
        </is>
      </c>
      <c r="Q684" s="2" t="n"/>
      <c r="R684" s="2" t="n"/>
      <c r="S684" s="2" t="n">
        <v>33.57414181162788</v>
      </c>
      <c r="T684" s="2" t="n">
        <v>-7.641024336491897</v>
      </c>
      <c r="U684" s="3" t="n">
        <v>9204</v>
      </c>
      <c r="V684" s="2" t="inlineStr"/>
      <c r="W684" s="6" t="inlineStr">
        <is>
          <t>https://yakeey.com/fr-ma/achat/biens/75185</t>
        </is>
      </c>
    </row>
    <row r="685">
      <c r="A685" t="inlineStr">
        <is>
          <t>75384</t>
        </is>
      </c>
      <c r="B685" t="inlineStr">
        <is>
          <t>APARTMENT</t>
        </is>
      </c>
      <c r="C685" t="inlineStr">
        <is>
          <t>Ain Sebaa</t>
        </is>
      </c>
      <c r="D685" t="inlineStr">
        <is>
          <t>Casablanca</t>
        </is>
      </c>
      <c r="E685" s="7" t="n">
        <v>980000</v>
      </c>
      <c r="F685" s="8" t="n">
        <v>93</v>
      </c>
      <c r="G685" s="8" t="n"/>
      <c r="H685" s="8" t="n"/>
      <c r="I685" s="9">
        <f>IFERROR(E685/F685,"")</f>
        <v/>
      </c>
      <c r="J685" t="n">
        <v>3</v>
      </c>
      <c r="K685" t="n">
        <v>2</v>
      </c>
      <c r="P685" t="inlineStr">
        <is>
          <t>LISTED</t>
        </is>
      </c>
      <c r="S685" t="n">
        <v>33.61583949278426</v>
      </c>
      <c r="T685" t="n">
        <v>-7.538915798273073</v>
      </c>
      <c r="U685" s="7" t="n">
        <v>5637</v>
      </c>
      <c r="V685" t="inlineStr"/>
      <c r="W685" s="10" t="inlineStr">
        <is>
          <t>https://yakeey.com/fr-ma/achat/biens/75384</t>
        </is>
      </c>
    </row>
    <row r="686">
      <c r="A686" s="2" t="inlineStr">
        <is>
          <t>75876</t>
        </is>
      </c>
      <c r="B686" s="2" t="inlineStr">
        <is>
          <t>APARTMENT</t>
        </is>
      </c>
      <c r="C686" s="2" t="inlineStr">
        <is>
          <t>Hopitaux</t>
        </is>
      </c>
      <c r="D686" s="2" t="inlineStr">
        <is>
          <t>Casablanca</t>
        </is>
      </c>
      <c r="E686" s="3" t="n">
        <v>1435000</v>
      </c>
      <c r="F686" s="4" t="n">
        <v>98</v>
      </c>
      <c r="G686" s="4" t="n"/>
      <c r="H686" s="4" t="n"/>
      <c r="I686" s="5">
        <f>IFERROR(E686/F686,"")</f>
        <v/>
      </c>
      <c r="J686" s="2" t="n">
        <v>2</v>
      </c>
      <c r="K686" s="2" t="n">
        <v>2</v>
      </c>
      <c r="L686" s="2" t="n"/>
      <c r="M686" s="2" t="n"/>
      <c r="N686" s="2" t="n"/>
      <c r="O686" s="2" t="n"/>
      <c r="P686" s="2" t="inlineStr">
        <is>
          <t>LISTED</t>
        </is>
      </c>
      <c r="Q686" s="2" t="n"/>
      <c r="R686" s="2" t="n"/>
      <c r="S686" s="2" t="n">
        <v>33.56737132098595</v>
      </c>
      <c r="T686" s="2" t="n">
        <v>-7.626261656028917</v>
      </c>
      <c r="U686" s="3" t="n">
        <v>8255</v>
      </c>
      <c r="V686" s="2" t="inlineStr"/>
      <c r="W686" s="6" t="inlineStr">
        <is>
          <t>https://yakeey.com/fr-ma/achat/biens/75876</t>
        </is>
      </c>
    </row>
    <row r="687">
      <c r="A687" t="inlineStr">
        <is>
          <t>76405</t>
        </is>
      </c>
      <c r="B687" t="inlineStr">
        <is>
          <t>APARTMENT</t>
        </is>
      </c>
      <c r="C687" t="inlineStr">
        <is>
          <t>Plateau</t>
        </is>
      </c>
      <c r="D687" t="inlineStr">
        <is>
          <t>Casablanca</t>
        </is>
      </c>
      <c r="E687" s="7" t="n">
        <v>2300000</v>
      </c>
      <c r="F687" s="8" t="n">
        <v>145</v>
      </c>
      <c r="G687" s="8" t="n"/>
      <c r="H687" s="8" t="n"/>
      <c r="I687" s="9">
        <f>IFERROR(E687/F687,"")</f>
        <v/>
      </c>
      <c r="J687" t="n">
        <v>3</v>
      </c>
      <c r="K687" t="n">
        <v>2</v>
      </c>
      <c r="P687" t="inlineStr">
        <is>
          <t>LISTED</t>
        </is>
      </c>
      <c r="S687" t="n">
        <v>33.5698844185975</v>
      </c>
      <c r="T687" t="n">
        <v>-7.639705701437948</v>
      </c>
      <c r="U687" s="7" t="n">
        <v>13232</v>
      </c>
      <c r="V687" t="inlineStr"/>
      <c r="W687" s="10" t="inlineStr">
        <is>
          <t>https://yakeey.com/fr-ma/achat/biens/76405</t>
        </is>
      </c>
    </row>
    <row r="688">
      <c r="A688" s="2" t="inlineStr">
        <is>
          <t>76781</t>
        </is>
      </c>
      <c r="B688" s="2" t="inlineStr">
        <is>
          <t>APARTMENT</t>
        </is>
      </c>
      <c r="C688" s="2" t="inlineStr">
        <is>
          <t>Hay Hassani</t>
        </is>
      </c>
      <c r="D688" s="2" t="inlineStr">
        <is>
          <t>Casablanca</t>
        </is>
      </c>
      <c r="E688" s="3" t="n">
        <v>650000</v>
      </c>
      <c r="F688" s="4" t="n">
        <v>80</v>
      </c>
      <c r="G688" s="4" t="n"/>
      <c r="H688" s="4" t="n"/>
      <c r="I688" s="5">
        <f>IFERROR(E688/F688,"")</f>
        <v/>
      </c>
      <c r="J688" s="2" t="n">
        <v>2</v>
      </c>
      <c r="K688" s="2" t="n">
        <v>1</v>
      </c>
      <c r="L688" s="2" t="n"/>
      <c r="M688" s="2" t="n"/>
      <c r="N688" s="2" t="n"/>
      <c r="O688" s="2" t="n"/>
      <c r="P688" s="2" t="inlineStr">
        <is>
          <t>LISTED</t>
        </is>
      </c>
      <c r="Q688" s="2" t="n"/>
      <c r="R688" s="2" t="n"/>
      <c r="S688" s="2" t="n">
        <v>33.56645720039743</v>
      </c>
      <c r="T688" s="2" t="n">
        <v>-7.678055688770169</v>
      </c>
      <c r="U688" s="3" t="n">
        <v>3739</v>
      </c>
      <c r="V688" s="2" t="inlineStr"/>
      <c r="W688" s="6" t="inlineStr">
        <is>
          <t>https://yakeey.com/fr-ma/achat/biens/76781</t>
        </is>
      </c>
    </row>
    <row r="689">
      <c r="A689" t="inlineStr">
        <is>
          <t>76871</t>
        </is>
      </c>
      <c r="B689" t="inlineStr">
        <is>
          <t>APARTMENT</t>
        </is>
      </c>
      <c r="C689" t="inlineStr">
        <is>
          <t>Roches Noires</t>
        </is>
      </c>
      <c r="D689" t="inlineStr">
        <is>
          <t>Casablanca</t>
        </is>
      </c>
      <c r="E689" s="7" t="n">
        <v>850000</v>
      </c>
      <c r="F689" s="8" t="n">
        <v>84</v>
      </c>
      <c r="G689" s="8" t="n"/>
      <c r="H689" s="8" t="n"/>
      <c r="I689" s="9">
        <f>IFERROR(E689/F689,"")</f>
        <v/>
      </c>
      <c r="J689" t="n">
        <v>2</v>
      </c>
      <c r="K689" t="n">
        <v>1</v>
      </c>
      <c r="P689" t="inlineStr">
        <is>
          <t>LISTED</t>
        </is>
      </c>
      <c r="S689" t="n">
        <v>33.6009027856479</v>
      </c>
      <c r="T689" t="n">
        <v>-7.580433173803988</v>
      </c>
      <c r="U689" s="7" t="n">
        <v>4890</v>
      </c>
      <c r="V689" t="inlineStr"/>
      <c r="W689" s="10" t="inlineStr">
        <is>
          <t>https://yakeey.com/fr-ma/achat/biens/76871</t>
        </is>
      </c>
    </row>
    <row r="690">
      <c r="A690" s="2" t="inlineStr">
        <is>
          <t>77058</t>
        </is>
      </c>
      <c r="B690" s="2" t="inlineStr">
        <is>
          <t>APARTMENT</t>
        </is>
      </c>
      <c r="C690" s="2" t="inlineStr">
        <is>
          <t>Mers Sultan</t>
        </is>
      </c>
      <c r="D690" s="2" t="inlineStr">
        <is>
          <t>Casablanca</t>
        </is>
      </c>
      <c r="E690" s="3" t="n">
        <v>1750000</v>
      </c>
      <c r="F690" s="4" t="n">
        <v>134</v>
      </c>
      <c r="G690" s="4" t="n"/>
      <c r="H690" s="4" t="n"/>
      <c r="I690" s="5">
        <f>IFERROR(E690/F690,"")</f>
        <v/>
      </c>
      <c r="J690" s="2" t="n">
        <v>3</v>
      </c>
      <c r="K690" s="2" t="n">
        <v>2</v>
      </c>
      <c r="L690" s="2" t="n"/>
      <c r="M690" s="2" t="n"/>
      <c r="N690" s="2" t="n"/>
      <c r="O690" s="2" t="n"/>
      <c r="P690" s="2" t="inlineStr">
        <is>
          <t>LISTED</t>
        </is>
      </c>
      <c r="Q690" s="2" t="n"/>
      <c r="R690" s="2" t="n"/>
      <c r="S690" s="2" t="n">
        <v>33.5775417492839</v>
      </c>
      <c r="T690" s="2" t="n">
        <v>-7.613490250243908</v>
      </c>
      <c r="U690" s="3" t="n">
        <v>10067</v>
      </c>
      <c r="V690" s="2" t="inlineStr"/>
      <c r="W690" s="6" t="inlineStr">
        <is>
          <t>https://yakeey.com/fr-ma/achat/biens/77058</t>
        </is>
      </c>
    </row>
    <row r="691">
      <c r="A691" t="inlineStr">
        <is>
          <t>77253</t>
        </is>
      </c>
      <c r="B691" t="inlineStr">
        <is>
          <t>APARTMENT</t>
        </is>
      </c>
      <c r="C691" t="inlineStr">
        <is>
          <t>Hopitaux</t>
        </is>
      </c>
      <c r="D691" t="inlineStr">
        <is>
          <t>Casablanca</t>
        </is>
      </c>
      <c r="E691" s="7" t="n">
        <v>2050000</v>
      </c>
      <c r="F691" s="8" t="n">
        <v>125</v>
      </c>
      <c r="G691" s="8" t="n"/>
      <c r="H691" s="8" t="n"/>
      <c r="I691" s="9">
        <f>IFERROR(E691/F691,"")</f>
        <v/>
      </c>
      <c r="J691" t="n">
        <v>3</v>
      </c>
      <c r="K691" t="n">
        <v>2</v>
      </c>
      <c r="P691" t="inlineStr">
        <is>
          <t>LISTED</t>
        </is>
      </c>
      <c r="S691" t="n">
        <v>33.57257919998471</v>
      </c>
      <c r="T691" t="n">
        <v>-7.617223190485229</v>
      </c>
      <c r="U691" s="7" t="n">
        <v>11793</v>
      </c>
      <c r="V691" t="inlineStr"/>
      <c r="W691" s="10" t="inlineStr">
        <is>
          <t>https://yakeey.com/fr-ma/achat/biens/77253</t>
        </is>
      </c>
    </row>
    <row r="692">
      <c r="A692" s="2" t="inlineStr">
        <is>
          <t>77261</t>
        </is>
      </c>
      <c r="B692" s="2" t="inlineStr">
        <is>
          <t>APARTMENT</t>
        </is>
      </c>
      <c r="C692" s="2" t="inlineStr">
        <is>
          <t>Hopitaux</t>
        </is>
      </c>
      <c r="D692" s="2" t="inlineStr">
        <is>
          <t>Casablanca</t>
        </is>
      </c>
      <c r="E692" s="3" t="n">
        <v>2100000</v>
      </c>
      <c r="F692" s="4" t="n">
        <v>265</v>
      </c>
      <c r="G692" s="4" t="n"/>
      <c r="H692" s="4" t="n"/>
      <c r="I692" s="5">
        <f>IFERROR(E692/F692,"")</f>
        <v/>
      </c>
      <c r="J692" s="2" t="n">
        <v>4</v>
      </c>
      <c r="K692" s="2" t="n">
        <v>2</v>
      </c>
      <c r="L692" s="2" t="n"/>
      <c r="M692" s="2" t="n"/>
      <c r="N692" s="2" t="n"/>
      <c r="O692" s="2" t="n"/>
      <c r="P692" s="2" t="inlineStr">
        <is>
          <t>LISTED</t>
        </is>
      </c>
      <c r="Q692" s="2" t="n"/>
      <c r="R692" s="2" t="n"/>
      <c r="S692" s="2" t="n">
        <v>33.57244777392566</v>
      </c>
      <c r="T692" s="2" t="n">
        <v>-7.617976194240216</v>
      </c>
      <c r="U692" s="3" t="n">
        <v>12081</v>
      </c>
      <c r="V692" s="2" t="inlineStr"/>
      <c r="W692" s="6" t="inlineStr">
        <is>
          <t>https://yakeey.com/fr-ma/achat/biens/77261</t>
        </is>
      </c>
    </row>
    <row r="693">
      <c r="A693" t="inlineStr">
        <is>
          <t>77471</t>
        </is>
      </c>
      <c r="B693" t="inlineStr">
        <is>
          <t>APARTMENT</t>
        </is>
      </c>
      <c r="C693" t="inlineStr">
        <is>
          <t>Mandarouna</t>
        </is>
      </c>
      <c r="D693" t="inlineStr">
        <is>
          <t>Casablanca</t>
        </is>
      </c>
      <c r="E693" s="7" t="n">
        <v>1200000</v>
      </c>
      <c r="F693" s="8" t="n">
        <v>88</v>
      </c>
      <c r="G693" s="8" t="n"/>
      <c r="H693" s="8" t="n"/>
      <c r="I693" s="9">
        <f>IFERROR(E693/F693,"")</f>
        <v/>
      </c>
      <c r="J693" t="n">
        <v>2</v>
      </c>
      <c r="K693" t="n">
        <v>2</v>
      </c>
      <c r="P693" t="inlineStr">
        <is>
          <t>LISTED</t>
        </is>
      </c>
      <c r="S693" t="n">
        <v>33.52957994283467</v>
      </c>
      <c r="T693" t="n">
        <v>-7.610600481813794</v>
      </c>
      <c r="U693" s="7" t="n">
        <v>6903</v>
      </c>
      <c r="V693" t="inlineStr"/>
      <c r="W693" s="10" t="inlineStr">
        <is>
          <t>https://yakeey.com/fr-ma/achat/biens/77471</t>
        </is>
      </c>
    </row>
    <row r="694">
      <c r="A694" s="2" t="inlineStr">
        <is>
          <t>77916</t>
        </is>
      </c>
      <c r="B694" s="2" t="inlineStr">
        <is>
          <t>APARTMENT</t>
        </is>
      </c>
      <c r="C694" s="2" t="inlineStr">
        <is>
          <t>Sidi Moumen</t>
        </is>
      </c>
      <c r="D694" s="2" t="inlineStr">
        <is>
          <t>Casablanca</t>
        </is>
      </c>
      <c r="E694" s="3" t="n">
        <v>650000</v>
      </c>
      <c r="F694" s="4" t="n">
        <v>82</v>
      </c>
      <c r="G694" s="4" t="n"/>
      <c r="H694" s="4" t="n"/>
      <c r="I694" s="5">
        <f>IFERROR(E694/F694,"")</f>
        <v/>
      </c>
      <c r="J694" s="2" t="n">
        <v>2</v>
      </c>
      <c r="K694" s="2" t="n">
        <v>1</v>
      </c>
      <c r="L694" s="2" t="n"/>
      <c r="M694" s="2" t="n"/>
      <c r="N694" s="2" t="n"/>
      <c r="O694" s="2" t="n"/>
      <c r="P694" s="2" t="inlineStr">
        <is>
          <t>LISTED</t>
        </is>
      </c>
      <c r="Q694" s="2" t="n"/>
      <c r="R694" s="2" t="n"/>
      <c r="S694" s="2" t="n">
        <v>33.58895918655472</v>
      </c>
      <c r="T694" s="2" t="n">
        <v>-7.486095121729126</v>
      </c>
      <c r="U694" s="3" t="n">
        <v>3739</v>
      </c>
      <c r="V694" s="2" t="inlineStr"/>
      <c r="W694" s="6" t="inlineStr">
        <is>
          <t>https://yakeey.com/fr-ma/achat/biens/77916</t>
        </is>
      </c>
    </row>
    <row r="695">
      <c r="A695" t="inlineStr">
        <is>
          <t>77966</t>
        </is>
      </c>
      <c r="B695" t="inlineStr">
        <is>
          <t>APARTMENT</t>
        </is>
      </c>
      <c r="C695" t="inlineStr">
        <is>
          <t>Parc Industriel Cfcim</t>
        </is>
      </c>
      <c r="D695" t="inlineStr">
        <is>
          <t>Bouskoura</t>
        </is>
      </c>
      <c r="E695" s="7" t="n">
        <v>600000</v>
      </c>
      <c r="F695" s="8" t="n">
        <v>77</v>
      </c>
      <c r="G695" s="8" t="n"/>
      <c r="H695" s="8" t="n"/>
      <c r="I695" s="9">
        <f>IFERROR(E695/F695,"")</f>
        <v/>
      </c>
      <c r="J695" t="n">
        <v>2</v>
      </c>
      <c r="K695" t="n">
        <v>1</v>
      </c>
      <c r="P695" t="inlineStr">
        <is>
          <t>LISTED</t>
        </is>
      </c>
      <c r="S695" t="n">
        <v>33.43256368340567</v>
      </c>
      <c r="T695" t="n">
        <v>-7.642410953383991</v>
      </c>
      <c r="U695" s="7" t="n">
        <v>3451</v>
      </c>
      <c r="V695" t="inlineStr"/>
      <c r="W695" s="10" t="inlineStr">
        <is>
          <t>https://yakeey.com/fr-ma/achat/biens/77966</t>
        </is>
      </c>
    </row>
    <row r="696">
      <c r="A696" s="2" t="inlineStr">
        <is>
          <t>78305</t>
        </is>
      </c>
      <c r="B696" s="2" t="inlineStr">
        <is>
          <t>APARTMENT</t>
        </is>
      </c>
      <c r="C696" s="2" t="inlineStr">
        <is>
          <t>Californie</t>
        </is>
      </c>
      <c r="D696" s="2" t="inlineStr">
        <is>
          <t>Casablanca</t>
        </is>
      </c>
      <c r="E696" s="3" t="n">
        <v>1250000</v>
      </c>
      <c r="F696" s="4" t="n">
        <v>105</v>
      </c>
      <c r="G696" s="4" t="n"/>
      <c r="H696" s="4" t="n"/>
      <c r="I696" s="5">
        <f>IFERROR(E696/F696,"")</f>
        <v/>
      </c>
      <c r="J696" s="2" t="n">
        <v>3</v>
      </c>
      <c r="K696" s="2" t="n">
        <v>1</v>
      </c>
      <c r="L696" s="2" t="n"/>
      <c r="M696" s="2" t="n"/>
      <c r="N696" s="2" t="n"/>
      <c r="O696" s="2" t="n"/>
      <c r="P696" s="2" t="inlineStr">
        <is>
          <t>LISTED</t>
        </is>
      </c>
      <c r="Q696" s="2" t="n"/>
      <c r="R696" s="2" t="n"/>
      <c r="S696" s="2" t="n">
        <v>33.53475204267678</v>
      </c>
      <c r="T696" s="2" t="n">
        <v>-7.629679107919044</v>
      </c>
      <c r="U696" s="3" t="n">
        <v>7191</v>
      </c>
      <c r="V696" s="2" t="inlineStr"/>
      <c r="W696" s="6" t="inlineStr">
        <is>
          <t>https://yakeey.com/fr-ma/achat/biens/78305</t>
        </is>
      </c>
    </row>
    <row r="697">
      <c r="A697" t="inlineStr">
        <is>
          <t>7872</t>
        </is>
      </c>
      <c r="B697" t="inlineStr">
        <is>
          <t>APARTMENT</t>
        </is>
      </c>
      <c r="C697" t="inlineStr">
        <is>
          <t>Plateau</t>
        </is>
      </c>
      <c r="D697" t="inlineStr">
        <is>
          <t>Casablanca</t>
        </is>
      </c>
      <c r="E697" s="7" t="n">
        <v>2150000</v>
      </c>
      <c r="F697" s="8" t="n">
        <v>122</v>
      </c>
      <c r="G697" s="8" t="n"/>
      <c r="H697" s="8" t="n"/>
      <c r="I697" s="9">
        <f>IFERROR(E697/F697,"")</f>
        <v/>
      </c>
      <c r="J697" t="n">
        <v>2</v>
      </c>
      <c r="K697" t="n">
        <v>2</v>
      </c>
      <c r="P697" t="inlineStr">
        <is>
          <t>LISTED</t>
        </is>
      </c>
      <c r="S697" t="n">
        <v>33.57400659083327</v>
      </c>
      <c r="T697" t="n">
        <v>-7.638262770509106</v>
      </c>
      <c r="U697" s="7" t="n">
        <v>12369</v>
      </c>
      <c r="V697" t="inlineStr"/>
      <c r="W697" s="10" t="inlineStr">
        <is>
          <t>https://yakeey.com/fr-ma/achat/biens/7872</t>
        </is>
      </c>
    </row>
    <row r="698">
      <c r="A698" s="2" t="inlineStr">
        <is>
          <t>78925</t>
        </is>
      </c>
      <c r="B698" s="2" t="inlineStr">
        <is>
          <t>APARTMENT</t>
        </is>
      </c>
      <c r="C698" s="2" t="inlineStr">
        <is>
          <t>Belvedere (Roches Noires)</t>
        </is>
      </c>
      <c r="D698" s="2" t="inlineStr">
        <is>
          <t>Casablanca</t>
        </is>
      </c>
      <c r="E698" s="3" t="n">
        <v>1700000</v>
      </c>
      <c r="F698" s="4" t="n">
        <v>107</v>
      </c>
      <c r="G698" s="4" t="n"/>
      <c r="H698" s="4" t="n"/>
      <c r="I698" s="5">
        <f>IFERROR(E698/F698,"")</f>
        <v/>
      </c>
      <c r="J698" s="2" t="n">
        <v>3</v>
      </c>
      <c r="K698" s="2" t="n">
        <v>2</v>
      </c>
      <c r="L698" s="2" t="n"/>
      <c r="M698" s="2" t="n"/>
      <c r="N698" s="2" t="n"/>
      <c r="O698" s="2" t="n"/>
      <c r="P698" s="2" t="inlineStr">
        <is>
          <t>LISTED</t>
        </is>
      </c>
      <c r="Q698" s="2" t="n"/>
      <c r="R698" s="2" t="n"/>
      <c r="S698" s="2" t="n">
        <v>33.58990403955374</v>
      </c>
      <c r="T698" s="2" t="n">
        <v>-7.592057043602415</v>
      </c>
      <c r="U698" s="3" t="n">
        <v>9780</v>
      </c>
      <c r="V698" s="2" t="inlineStr"/>
      <c r="W698" s="6" t="inlineStr">
        <is>
          <t>https://yakeey.com/fr-ma/achat/biens/78925</t>
        </is>
      </c>
    </row>
    <row r="699">
      <c r="A699" t="inlineStr">
        <is>
          <t>78954</t>
        </is>
      </c>
      <c r="B699" t="inlineStr">
        <is>
          <t>APARTMENT</t>
        </is>
      </c>
      <c r="C699" t="inlineStr">
        <is>
          <t>Hopitaux</t>
        </is>
      </c>
      <c r="D699" t="inlineStr">
        <is>
          <t>Casablanca</t>
        </is>
      </c>
      <c r="E699" s="7" t="n">
        <v>1700000</v>
      </c>
      <c r="F699" s="8" t="n">
        <v>162</v>
      </c>
      <c r="G699" s="8" t="n"/>
      <c r="H699" s="8" t="n"/>
      <c r="I699" s="9">
        <f>IFERROR(E699/F699,"")</f>
        <v/>
      </c>
      <c r="J699" t="n">
        <v>3</v>
      </c>
      <c r="K699" t="n">
        <v>1</v>
      </c>
      <c r="P699" t="inlineStr">
        <is>
          <t>LISTED</t>
        </is>
      </c>
      <c r="S699" t="n">
        <v>33.58155221376571</v>
      </c>
      <c r="T699" t="n">
        <v>-7.616624275430334</v>
      </c>
      <c r="U699" s="7" t="n">
        <v>9780</v>
      </c>
      <c r="V699" t="inlineStr"/>
      <c r="W699" s="10" t="inlineStr">
        <is>
          <t>https://yakeey.com/fr-ma/achat/biens/78954</t>
        </is>
      </c>
    </row>
    <row r="700">
      <c r="A700" s="2" t="inlineStr">
        <is>
          <t>78979</t>
        </is>
      </c>
      <c r="B700" s="2" t="inlineStr">
        <is>
          <t>APARTMENT</t>
        </is>
      </c>
      <c r="C700" s="2" t="inlineStr">
        <is>
          <t>Hopitaux</t>
        </is>
      </c>
      <c r="D700" s="2" t="inlineStr">
        <is>
          <t>Casablanca</t>
        </is>
      </c>
      <c r="E700" s="3" t="n">
        <v>1990000</v>
      </c>
      <c r="F700" s="4" t="n">
        <v>128</v>
      </c>
      <c r="G700" s="4" t="n"/>
      <c r="H700" s="4" t="n"/>
      <c r="I700" s="5">
        <f>IFERROR(E700/F700,"")</f>
        <v/>
      </c>
      <c r="J700" s="2" t="n">
        <v>3</v>
      </c>
      <c r="K700" s="2" t="n">
        <v>2</v>
      </c>
      <c r="L700" s="2" t="n"/>
      <c r="M700" s="2" t="n"/>
      <c r="N700" s="2" t="n"/>
      <c r="O700" s="2" t="n"/>
      <c r="P700" s="2" t="inlineStr">
        <is>
          <t>LISTED</t>
        </is>
      </c>
      <c r="Q700" s="2" t="n"/>
      <c r="R700" s="2" t="n"/>
      <c r="S700" s="2" t="n">
        <v>33.58240676226654</v>
      </c>
      <c r="T700" s="2" t="n">
        <v>-7.614952858369998</v>
      </c>
      <c r="U700" s="3" t="n">
        <v>11448</v>
      </c>
      <c r="V700" s="2" t="inlineStr"/>
      <c r="W700" s="6" t="inlineStr">
        <is>
          <t>https://yakeey.com/fr-ma/achat/biens/78979</t>
        </is>
      </c>
    </row>
    <row r="701">
      <c r="A701" t="inlineStr">
        <is>
          <t>78982</t>
        </is>
      </c>
      <c r="B701" t="inlineStr">
        <is>
          <t>APARTMENT</t>
        </is>
      </c>
      <c r="C701" t="inlineStr">
        <is>
          <t>Hopitaux</t>
        </is>
      </c>
      <c r="D701" t="inlineStr">
        <is>
          <t>Casablanca</t>
        </is>
      </c>
      <c r="E701" s="7" t="n">
        <v>1930000</v>
      </c>
      <c r="F701" s="8" t="n">
        <v>122</v>
      </c>
      <c r="G701" s="8" t="n"/>
      <c r="H701" s="8" t="n"/>
      <c r="I701" s="9">
        <f>IFERROR(E701/F701,"")</f>
        <v/>
      </c>
      <c r="J701" t="n">
        <v>3</v>
      </c>
      <c r="K701" t="n">
        <v>2</v>
      </c>
      <c r="P701" t="inlineStr">
        <is>
          <t>LISTED</t>
        </is>
      </c>
      <c r="S701" t="n">
        <v>33.58055550557076</v>
      </c>
      <c r="T701" t="n">
        <v>-7.615452401391376</v>
      </c>
      <c r="U701" s="7" t="n">
        <v>11103</v>
      </c>
      <c r="V701" t="inlineStr"/>
      <c r="W701" s="10" t="inlineStr">
        <is>
          <t>https://yakeey.com/fr-ma/achat/biens/78982</t>
        </is>
      </c>
    </row>
    <row r="702">
      <c r="A702" s="2" t="inlineStr">
        <is>
          <t>79231</t>
        </is>
      </c>
      <c r="B702" s="2" t="inlineStr">
        <is>
          <t>APARTMENT</t>
        </is>
      </c>
      <c r="C702" s="2" t="inlineStr">
        <is>
          <t>Sidi Othmane</t>
        </is>
      </c>
      <c r="D702" s="2" t="inlineStr">
        <is>
          <t>Casablanca</t>
        </is>
      </c>
      <c r="E702" s="3" t="n">
        <v>792000</v>
      </c>
      <c r="F702" s="4" t="n">
        <v>88</v>
      </c>
      <c r="G702" s="4" t="n"/>
      <c r="H702" s="4" t="n"/>
      <c r="I702" s="5">
        <f>IFERROR(E702/F702,"")</f>
        <v/>
      </c>
      <c r="J702" s="2" t="n">
        <v>2</v>
      </c>
      <c r="K702" s="2" t="n">
        <v>1</v>
      </c>
      <c r="L702" s="2" t="n"/>
      <c r="M702" s="2" t="n"/>
      <c r="N702" s="2" t="n"/>
      <c r="O702" s="2" t="n"/>
      <c r="P702" s="2" t="inlineStr">
        <is>
          <t>LISTED</t>
        </is>
      </c>
      <c r="Q702" s="2" t="n"/>
      <c r="R702" s="2" t="n"/>
      <c r="S702" s="2" t="n">
        <v>33.55436248488964</v>
      </c>
      <c r="T702" s="2" t="n">
        <v>-7.557164116898299</v>
      </c>
      <c r="U702" s="3" t="n">
        <v>4556</v>
      </c>
      <c r="V702" s="2" t="inlineStr"/>
      <c r="W702" s="6" t="inlineStr">
        <is>
          <t>https://yakeey.com/fr-ma/achat/biens/79231</t>
        </is>
      </c>
    </row>
    <row r="703">
      <c r="A703" t="inlineStr">
        <is>
          <t>79276</t>
        </is>
      </c>
      <c r="B703" t="inlineStr">
        <is>
          <t>APARTMENT</t>
        </is>
      </c>
      <c r="C703" t="inlineStr">
        <is>
          <t>Belvedere (Roches Noires)</t>
        </is>
      </c>
      <c r="D703" t="inlineStr">
        <is>
          <t>Casablanca</t>
        </is>
      </c>
      <c r="E703" s="7" t="n">
        <v>900000</v>
      </c>
      <c r="F703" s="8" t="n">
        <v>86</v>
      </c>
      <c r="G703" s="8" t="n"/>
      <c r="H703" s="8" t="n"/>
      <c r="I703" s="9">
        <f>IFERROR(E703/F703,"")</f>
        <v/>
      </c>
      <c r="J703" t="n">
        <v>2</v>
      </c>
      <c r="K703" t="n">
        <v>1</v>
      </c>
      <c r="P703" t="inlineStr">
        <is>
          <t>LISTED</t>
        </is>
      </c>
      <c r="S703" t="n">
        <v>33.58585831927942</v>
      </c>
      <c r="T703" t="n">
        <v>-7.598456711303982</v>
      </c>
      <c r="U703" s="7" t="n">
        <v>5177</v>
      </c>
      <c r="V703" t="inlineStr"/>
      <c r="W703" s="10" t="inlineStr">
        <is>
          <t>https://yakeey.com/fr-ma/achat/biens/79276</t>
        </is>
      </c>
    </row>
    <row r="704">
      <c r="A704" s="2" t="inlineStr">
        <is>
          <t>79382</t>
        </is>
      </c>
      <c r="B704" s="2" t="inlineStr">
        <is>
          <t>APARTMENT</t>
        </is>
      </c>
      <c r="C704" s="2" t="inlineStr">
        <is>
          <t>Maarif Extension</t>
        </is>
      </c>
      <c r="D704" s="2" t="inlineStr">
        <is>
          <t>Casablanca</t>
        </is>
      </c>
      <c r="E704" s="3" t="n">
        <v>2500000</v>
      </c>
      <c r="F704" s="4" t="n">
        <v>159</v>
      </c>
      <c r="G704" s="4" t="n"/>
      <c r="H704" s="4" t="n"/>
      <c r="I704" s="5">
        <f>IFERROR(E704/F704,"")</f>
        <v/>
      </c>
      <c r="J704" s="2" t="n">
        <v>3</v>
      </c>
      <c r="K704" s="2" t="n">
        <v>2</v>
      </c>
      <c r="L704" s="2" t="n"/>
      <c r="M704" s="2" t="n"/>
      <c r="N704" s="2" t="n"/>
      <c r="O704" s="2" t="n"/>
      <c r="P704" s="2" t="inlineStr">
        <is>
          <t>LISTED</t>
        </is>
      </c>
      <c r="Q704" s="2" t="n"/>
      <c r="R704" s="2" t="n"/>
      <c r="S704" s="2" t="n">
        <v>33.58169017876993</v>
      </c>
      <c r="T704" s="2" t="n">
        <v>-7.643700713651819</v>
      </c>
      <c r="U704" s="3" t="n">
        <v>14382</v>
      </c>
      <c r="V704" s="2" t="inlineStr"/>
      <c r="W704" s="6" t="inlineStr">
        <is>
          <t>https://yakeey.com/fr-ma/achat/biens/79382</t>
        </is>
      </c>
    </row>
    <row r="705">
      <c r="A705" t="inlineStr">
        <is>
          <t>79519</t>
        </is>
      </c>
      <c r="B705" t="inlineStr">
        <is>
          <t>APARTMENT</t>
        </is>
      </c>
      <c r="C705" t="inlineStr">
        <is>
          <t>Ferme Bretonne</t>
        </is>
      </c>
      <c r="D705" t="inlineStr">
        <is>
          <t>Casablanca</t>
        </is>
      </c>
      <c r="E705" s="7" t="n">
        <v>2300000</v>
      </c>
      <c r="F705" s="8" t="n">
        <v>113</v>
      </c>
      <c r="G705" s="8" t="n"/>
      <c r="H705" s="8" t="n"/>
      <c r="I705" s="9">
        <f>IFERROR(E705/F705,"")</f>
        <v/>
      </c>
      <c r="J705" t="n">
        <v>2</v>
      </c>
      <c r="K705" t="n">
        <v>2</v>
      </c>
      <c r="P705" t="inlineStr">
        <is>
          <t>LISTED</t>
        </is>
      </c>
      <c r="S705" t="n">
        <v>33.56450013711048</v>
      </c>
      <c r="T705" t="n">
        <v>-7.644845704617357</v>
      </c>
      <c r="U705" s="7" t="n">
        <v>13232</v>
      </c>
      <c r="V705" t="inlineStr"/>
      <c r="W705" s="10" t="inlineStr">
        <is>
          <t>https://yakeey.com/fr-ma/achat/biens/79519</t>
        </is>
      </c>
    </row>
    <row r="706">
      <c r="A706" s="2" t="inlineStr">
        <is>
          <t>79539</t>
        </is>
      </c>
      <c r="B706" s="2" t="inlineStr">
        <is>
          <t>APARTMENT</t>
        </is>
      </c>
      <c r="C706" s="2" t="inlineStr">
        <is>
          <t>Gauthier</t>
        </is>
      </c>
      <c r="D706" s="2" t="inlineStr">
        <is>
          <t>Casablanca</t>
        </is>
      </c>
      <c r="E706" s="3" t="n">
        <v>3660000</v>
      </c>
      <c r="F706" s="4" t="n">
        <v>249</v>
      </c>
      <c r="G706" s="4" t="n"/>
      <c r="H706" s="4" t="n"/>
      <c r="I706" s="5">
        <f>IFERROR(E706/F706,"")</f>
        <v/>
      </c>
      <c r="J706" s="2" t="n">
        <v>4</v>
      </c>
      <c r="K706" s="2" t="n">
        <v>2</v>
      </c>
      <c r="L706" s="2" t="n"/>
      <c r="M706" s="2" t="n"/>
      <c r="N706" s="2" t="n"/>
      <c r="O706" s="2" t="n"/>
      <c r="P706" s="2" t="inlineStr">
        <is>
          <t>LISTED</t>
        </is>
      </c>
      <c r="Q706" s="2" t="n"/>
      <c r="R706" s="2" t="n"/>
      <c r="S706" s="2" t="n">
        <v>33.59005419857034</v>
      </c>
      <c r="T706" s="2" t="n">
        <v>-7.634304497319165</v>
      </c>
      <c r="U706" s="3" t="n">
        <v>21056</v>
      </c>
      <c r="V706" s="2" t="inlineStr"/>
      <c r="W706" s="6" t="inlineStr">
        <is>
          <t>https://yakeey.com/fr-ma/achat/biens/79539</t>
        </is>
      </c>
    </row>
    <row r="707">
      <c r="A707" t="inlineStr">
        <is>
          <t>79591</t>
        </is>
      </c>
      <c r="B707" t="inlineStr">
        <is>
          <t>APARTMENT</t>
        </is>
      </c>
      <c r="C707" t="inlineStr">
        <is>
          <t>Les Princesses</t>
        </is>
      </c>
      <c r="D707" t="inlineStr">
        <is>
          <t>Casablanca</t>
        </is>
      </c>
      <c r="E707" s="7" t="n">
        <v>3200000</v>
      </c>
      <c r="F707" s="8" t="n">
        <v>285</v>
      </c>
      <c r="G707" s="8" t="n"/>
      <c r="H707" s="8" t="n"/>
      <c r="I707" s="9">
        <f>IFERROR(E707/F707,"")</f>
        <v/>
      </c>
      <c r="J707" t="n">
        <v>3</v>
      </c>
      <c r="K707" t="n">
        <v>2</v>
      </c>
      <c r="P707" t="inlineStr">
        <is>
          <t>LISTED</t>
        </is>
      </c>
      <c r="S707" t="n">
        <v>33.57617577559218</v>
      </c>
      <c r="T707" t="n">
        <v>-7.649930572560457</v>
      </c>
      <c r="U707" s="7" t="n">
        <v>18409</v>
      </c>
      <c r="V707" t="inlineStr"/>
      <c r="W707" s="10" t="inlineStr">
        <is>
          <t>https://yakeey.com/fr-ma/achat/biens/79591</t>
        </is>
      </c>
    </row>
    <row r="708">
      <c r="A708" s="2" t="inlineStr">
        <is>
          <t>80176</t>
        </is>
      </c>
      <c r="B708" s="2" t="inlineStr">
        <is>
          <t>APARTMENT</t>
        </is>
      </c>
      <c r="C708" s="2" t="inlineStr">
        <is>
          <t>La Gironde</t>
        </is>
      </c>
      <c r="D708" s="2" t="inlineStr">
        <is>
          <t>Casablanca</t>
        </is>
      </c>
      <c r="E708" s="3" t="n">
        <v>1000000</v>
      </c>
      <c r="F708" s="4" t="n">
        <v>89</v>
      </c>
      <c r="G708" s="4" t="n"/>
      <c r="H708" s="4" t="n"/>
      <c r="I708" s="5">
        <f>IFERROR(E708/F708,"")</f>
        <v/>
      </c>
      <c r="J708" s="2" t="n">
        <v>2</v>
      </c>
      <c r="K708" s="2" t="n">
        <v>1</v>
      </c>
      <c r="L708" s="2" t="n"/>
      <c r="M708" s="2" t="n"/>
      <c r="N708" s="2" t="n"/>
      <c r="O708" s="2" t="n"/>
      <c r="P708" s="2" t="inlineStr">
        <is>
          <t>LISTED</t>
        </is>
      </c>
      <c r="Q708" s="2" t="n"/>
      <c r="R708" s="2" t="n"/>
      <c r="S708" s="2" t="n">
        <v>33.58571847057974</v>
      </c>
      <c r="T708" s="2" t="n">
        <v>-7.60333990372369</v>
      </c>
      <c r="U708" s="3" t="n">
        <v>5753</v>
      </c>
      <c r="V708" s="2" t="inlineStr"/>
      <c r="W708" s="6" t="inlineStr">
        <is>
          <t>https://yakeey.com/fr-ma/achat/biens/80176</t>
        </is>
      </c>
    </row>
    <row r="709">
      <c r="A709" t="inlineStr">
        <is>
          <t>80208</t>
        </is>
      </c>
      <c r="B709" t="inlineStr">
        <is>
          <t>APARTMENT</t>
        </is>
      </c>
      <c r="C709" t="inlineStr">
        <is>
          <t>Gauthier</t>
        </is>
      </c>
      <c r="D709" t="inlineStr">
        <is>
          <t>Casablanca</t>
        </is>
      </c>
      <c r="E709" s="7" t="n">
        <v>2600000</v>
      </c>
      <c r="F709" s="8" t="n">
        <v>163</v>
      </c>
      <c r="G709" s="8" t="n"/>
      <c r="H709" s="8" t="n"/>
      <c r="I709" s="9">
        <f>IFERROR(E709/F709,"")</f>
        <v/>
      </c>
      <c r="J709" t="n">
        <v>3</v>
      </c>
      <c r="K709" t="n">
        <v>1</v>
      </c>
      <c r="P709" t="inlineStr">
        <is>
          <t>LISTED</t>
        </is>
      </c>
      <c r="S709" t="n">
        <v>33.59202772227302</v>
      </c>
      <c r="T709" t="n">
        <v>-7.629286340812421</v>
      </c>
      <c r="U709" s="7" t="n">
        <v>14957</v>
      </c>
      <c r="V709" t="inlineStr"/>
      <c r="W709" s="10" t="inlineStr">
        <is>
          <t>https://yakeey.com/fr-ma/achat/biens/80208</t>
        </is>
      </c>
    </row>
    <row r="710">
      <c r="A710" s="2" t="inlineStr">
        <is>
          <t>80302</t>
        </is>
      </c>
      <c r="B710" s="2" t="inlineStr">
        <is>
          <t>APARTMENT</t>
        </is>
      </c>
      <c r="C710" s="2" t="inlineStr">
        <is>
          <t>Oulfa</t>
        </is>
      </c>
      <c r="D710" s="2" t="inlineStr">
        <is>
          <t>Casablanca</t>
        </is>
      </c>
      <c r="E710" s="3" t="n">
        <v>1590000</v>
      </c>
      <c r="F710" s="4" t="n">
        <v>115</v>
      </c>
      <c r="G710" s="4" t="n"/>
      <c r="H710" s="4" t="n"/>
      <c r="I710" s="5">
        <f>IFERROR(E710/F710,"")</f>
        <v/>
      </c>
      <c r="J710" s="2" t="n">
        <v>3</v>
      </c>
      <c r="K710" s="2" t="n">
        <v>2</v>
      </c>
      <c r="L710" s="2" t="n"/>
      <c r="M710" s="2" t="n"/>
      <c r="N710" s="2" t="n"/>
      <c r="O710" s="2" t="n"/>
      <c r="P710" s="2" t="inlineStr">
        <is>
          <t>LISTED</t>
        </is>
      </c>
      <c r="Q710" s="2" t="n"/>
      <c r="R710" s="2" t="n"/>
      <c r="S710" s="2" t="n">
        <v>33.54753358340735</v>
      </c>
      <c r="T710" s="2" t="n">
        <v>-7.678986287494798</v>
      </c>
      <c r="U710" s="3" t="n">
        <v>9147</v>
      </c>
      <c r="V710" s="2" t="inlineStr"/>
      <c r="W710" s="6" t="inlineStr">
        <is>
          <t>https://yakeey.com/fr-ma/achat/biens/80302</t>
        </is>
      </c>
    </row>
    <row r="711">
      <c r="A711" t="inlineStr">
        <is>
          <t>80386</t>
        </is>
      </c>
      <c r="B711" t="inlineStr">
        <is>
          <t>APARTMENT</t>
        </is>
      </c>
      <c r="C711" t="inlineStr">
        <is>
          <t>Ferme Bretonne</t>
        </is>
      </c>
      <c r="D711" t="inlineStr">
        <is>
          <t>Casablanca</t>
        </is>
      </c>
      <c r="E711" s="7" t="n">
        <v>2980000</v>
      </c>
      <c r="F711" s="8" t="n">
        <v>170</v>
      </c>
      <c r="G711" s="8" t="n"/>
      <c r="H711" s="8" t="n"/>
      <c r="I711" s="9">
        <f>IFERROR(E711/F711,"")</f>
        <v/>
      </c>
      <c r="J711" t="n">
        <v>3</v>
      </c>
      <c r="K711" t="n">
        <v>3</v>
      </c>
      <c r="P711" t="inlineStr">
        <is>
          <t>LISTED</t>
        </is>
      </c>
      <c r="S711" t="n">
        <v>33.56148776556023</v>
      </c>
      <c r="T711" t="n">
        <v>-7.645714863881472</v>
      </c>
      <c r="U711" s="7" t="n">
        <v>17144</v>
      </c>
      <c r="V711" t="inlineStr"/>
      <c r="W711" s="10" t="inlineStr">
        <is>
          <t>https://yakeey.com/fr-ma/achat/biens/80386</t>
        </is>
      </c>
    </row>
    <row r="712">
      <c r="A712" s="2" t="inlineStr">
        <is>
          <t>80463</t>
        </is>
      </c>
      <c r="B712" s="2" t="inlineStr">
        <is>
          <t>APARTMENT</t>
        </is>
      </c>
      <c r="C712" s="2" t="inlineStr">
        <is>
          <t>Bourgogne (Sidi Belyout)</t>
        </is>
      </c>
      <c r="D712" s="2" t="inlineStr">
        <is>
          <t>Casablanca</t>
        </is>
      </c>
      <c r="E712" s="3" t="n">
        <v>4150000</v>
      </c>
      <c r="F712" s="4" t="n">
        <v>260</v>
      </c>
      <c r="G712" s="4" t="n"/>
      <c r="H712" s="4" t="n"/>
      <c r="I712" s="5">
        <f>IFERROR(E712/F712,"")</f>
        <v/>
      </c>
      <c r="J712" s="2" t="n">
        <v>3</v>
      </c>
      <c r="K712" s="2" t="n">
        <v>2</v>
      </c>
      <c r="L712" s="2" t="n"/>
      <c r="M712" s="2" t="n"/>
      <c r="N712" s="2" t="n"/>
      <c r="O712" s="2" t="n"/>
      <c r="P712" s="2" t="inlineStr">
        <is>
          <t>LISTED</t>
        </is>
      </c>
      <c r="Q712" s="2" t="n"/>
      <c r="R712" s="2" t="n"/>
      <c r="S712" s="2" t="n">
        <v>33.59213901468583</v>
      </c>
      <c r="T712" s="2" t="n">
        <v>-7.636274193749911</v>
      </c>
      <c r="U712" s="3" t="n">
        <v>23875</v>
      </c>
      <c r="V712" s="2" t="inlineStr"/>
      <c r="W712" s="6" t="inlineStr">
        <is>
          <t>https://yakeey.com/fr-ma/achat/biens/80463</t>
        </is>
      </c>
    </row>
    <row r="713">
      <c r="A713" t="inlineStr">
        <is>
          <t>806</t>
        </is>
      </c>
      <c r="B713" t="inlineStr">
        <is>
          <t>APARTMENT</t>
        </is>
      </c>
      <c r="C713" t="inlineStr">
        <is>
          <t>Nassim</t>
        </is>
      </c>
      <c r="D713" t="inlineStr">
        <is>
          <t>Casablanca</t>
        </is>
      </c>
      <c r="E713" s="7" t="n">
        <v>1450000</v>
      </c>
      <c r="F713" s="8" t="n">
        <v>132</v>
      </c>
      <c r="G713" s="8" t="n"/>
      <c r="H713" s="8" t="n"/>
      <c r="I713" s="9">
        <f>IFERROR(E713/F713,"")</f>
        <v/>
      </c>
      <c r="J713" t="n">
        <v>3</v>
      </c>
      <c r="K713" t="n">
        <v>2</v>
      </c>
      <c r="P713" t="inlineStr">
        <is>
          <t>LISTED</t>
        </is>
      </c>
      <c r="S713" t="n">
        <v>33.52355162074217</v>
      </c>
      <c r="T713" t="n">
        <v>-7.660037039508997</v>
      </c>
      <c r="U713" s="7" t="n">
        <v>8341</v>
      </c>
      <c r="V713" t="inlineStr"/>
      <c r="W713" s="10" t="inlineStr">
        <is>
          <t>https://yakeey.com/fr-ma/achat/biens/806</t>
        </is>
      </c>
    </row>
    <row r="714">
      <c r="A714" s="2" t="inlineStr">
        <is>
          <t>81145</t>
        </is>
      </c>
      <c r="B714" s="2" t="inlineStr">
        <is>
          <t>APARTMENT</t>
        </is>
      </c>
      <c r="C714" s="2" t="inlineStr">
        <is>
          <t>Hopitaux</t>
        </is>
      </c>
      <c r="D714" s="2" t="inlineStr">
        <is>
          <t>Casablanca</t>
        </is>
      </c>
      <c r="E714" s="3" t="n">
        <v>1750000</v>
      </c>
      <c r="F714" s="4" t="n">
        <v>126</v>
      </c>
      <c r="G714" s="4" t="n"/>
      <c r="H714" s="4" t="n"/>
      <c r="I714" s="5">
        <f>IFERROR(E714/F714,"")</f>
        <v/>
      </c>
      <c r="J714" s="2" t="n">
        <v>3</v>
      </c>
      <c r="K714" s="2" t="n">
        <v>2</v>
      </c>
      <c r="L714" s="2" t="n"/>
      <c r="M714" s="2" t="n"/>
      <c r="N714" s="2" t="n"/>
      <c r="O714" s="2" t="n"/>
      <c r="P714" s="2" t="inlineStr">
        <is>
          <t>LISTED</t>
        </is>
      </c>
      <c r="Q714" s="2" t="n"/>
      <c r="R714" s="2" t="n"/>
      <c r="S714" s="2" t="n">
        <v>33.5710992454398</v>
      </c>
      <c r="T714" s="2" t="n">
        <v>-7.613232866209128</v>
      </c>
      <c r="U714" s="3" t="n">
        <v>10067</v>
      </c>
      <c r="V714" s="2" t="inlineStr"/>
      <c r="W714" s="6" t="inlineStr">
        <is>
          <t>https://yakeey.com/fr-ma/achat/biens/81145</t>
        </is>
      </c>
    </row>
    <row r="715">
      <c r="A715" t="inlineStr">
        <is>
          <t>81875</t>
        </is>
      </c>
      <c r="B715" t="inlineStr">
        <is>
          <t>APARTMENT</t>
        </is>
      </c>
      <c r="C715" t="inlineStr">
        <is>
          <t>Racine</t>
        </is>
      </c>
      <c r="D715" t="inlineStr">
        <is>
          <t>Casablanca</t>
        </is>
      </c>
      <c r="E715" s="7" t="n">
        <v>3900000</v>
      </c>
      <c r="F715" s="8" t="n">
        <v>263</v>
      </c>
      <c r="G715" s="8" t="n"/>
      <c r="H715" s="8" t="n"/>
      <c r="I715" s="9">
        <f>IFERROR(E715/F715,"")</f>
        <v/>
      </c>
      <c r="J715" t="n">
        <v>4</v>
      </c>
      <c r="K715" t="n">
        <v>2</v>
      </c>
      <c r="P715" t="inlineStr">
        <is>
          <t>LISTED</t>
        </is>
      </c>
      <c r="S715" t="n">
        <v>33.5892482513858</v>
      </c>
      <c r="T715" t="n">
        <v>-7.64012773505394</v>
      </c>
      <c r="U715" s="7" t="n">
        <v>22436</v>
      </c>
      <c r="V715" t="inlineStr"/>
      <c r="W715" s="10" t="inlineStr">
        <is>
          <t>https://yakeey.com/fr-ma/achat/biens/81875</t>
        </is>
      </c>
    </row>
    <row r="716">
      <c r="A716" s="2" t="inlineStr">
        <is>
          <t>82138</t>
        </is>
      </c>
      <c r="B716" s="2" t="inlineStr">
        <is>
          <t>APARTMENT</t>
        </is>
      </c>
      <c r="C716" s="2" t="inlineStr">
        <is>
          <t>Hopitaux</t>
        </is>
      </c>
      <c r="D716" s="2" t="inlineStr">
        <is>
          <t>Casablanca</t>
        </is>
      </c>
      <c r="E716" s="3" t="n">
        <v>2250000</v>
      </c>
      <c r="F716" s="4" t="n">
        <v>150</v>
      </c>
      <c r="G716" s="4" t="n"/>
      <c r="H716" s="4" t="n"/>
      <c r="I716" s="5">
        <f>IFERROR(E716/F716,"")</f>
        <v/>
      </c>
      <c r="J716" s="2" t="n">
        <v>3</v>
      </c>
      <c r="K716" s="2" t="n">
        <v>3</v>
      </c>
      <c r="L716" s="2" t="n"/>
      <c r="M716" s="2" t="n"/>
      <c r="N716" s="2" t="n"/>
      <c r="O716" s="2" t="n"/>
      <c r="P716" s="2" t="inlineStr">
        <is>
          <t>LISTED</t>
        </is>
      </c>
      <c r="Q716" s="2" t="n"/>
      <c r="R716" s="2" t="n"/>
      <c r="S716" s="2" t="n">
        <v>33.58291866001388</v>
      </c>
      <c r="T716" s="2" t="n">
        <v>-7.617466806334914</v>
      </c>
      <c r="U716" s="3" t="n">
        <v>12944</v>
      </c>
      <c r="V716" s="2" t="inlineStr"/>
      <c r="W716" s="6" t="inlineStr">
        <is>
          <t>https://yakeey.com/fr-ma/achat/biens/82138</t>
        </is>
      </c>
    </row>
    <row r="717">
      <c r="A717" t="inlineStr">
        <is>
          <t>82286</t>
        </is>
      </c>
      <c r="B717" t="inlineStr">
        <is>
          <t>APARTMENT</t>
        </is>
      </c>
      <c r="C717" t="inlineStr">
        <is>
          <t>Mers Sultan</t>
        </is>
      </c>
      <c r="D717" t="inlineStr">
        <is>
          <t>Casablanca</t>
        </is>
      </c>
      <c r="E717" s="7" t="n">
        <v>1700000</v>
      </c>
      <c r="F717" s="8" t="n">
        <v>111</v>
      </c>
      <c r="G717" s="8" t="n"/>
      <c r="H717" s="8" t="n"/>
      <c r="I717" s="9">
        <f>IFERROR(E717/F717,"")</f>
        <v/>
      </c>
      <c r="J717" t="n">
        <v>3</v>
      </c>
      <c r="K717" t="n">
        <v>2</v>
      </c>
      <c r="P717" t="inlineStr">
        <is>
          <t>LISTED</t>
        </is>
      </c>
      <c r="S717" t="n">
        <v>33.57440286221152</v>
      </c>
      <c r="T717" t="n">
        <v>-7.614022538483748</v>
      </c>
      <c r="U717" s="7" t="n">
        <v>9780</v>
      </c>
      <c r="V717" t="inlineStr"/>
      <c r="W717" s="10" t="inlineStr">
        <is>
          <t>https://yakeey.com/fr-ma/achat/biens/82286</t>
        </is>
      </c>
    </row>
    <row r="718">
      <c r="A718" s="2" t="inlineStr">
        <is>
          <t>82704</t>
        </is>
      </c>
      <c r="B718" s="2" t="inlineStr">
        <is>
          <t>APARTMENT</t>
        </is>
      </c>
      <c r="C718" s="2" t="inlineStr">
        <is>
          <t>Almaz (Hay Hassani)</t>
        </is>
      </c>
      <c r="D718" s="2" t="inlineStr">
        <is>
          <t>Casablanca</t>
        </is>
      </c>
      <c r="E718" s="3" t="n">
        <v>2250000</v>
      </c>
      <c r="F718" s="4" t="n">
        <v>174</v>
      </c>
      <c r="G718" s="4" t="n"/>
      <c r="H718" s="4" t="n"/>
      <c r="I718" s="5">
        <f>IFERROR(E718/F718,"")</f>
        <v/>
      </c>
      <c r="J718" s="2" t="n">
        <v>3</v>
      </c>
      <c r="K718" s="2" t="n">
        <v>3</v>
      </c>
      <c r="L718" s="2" t="n"/>
      <c r="M718" s="2" t="n"/>
      <c r="N718" s="2" t="n"/>
      <c r="O718" s="2" t="n"/>
      <c r="P718" s="2" t="inlineStr">
        <is>
          <t>LISTED</t>
        </is>
      </c>
      <c r="Q718" s="2" t="n"/>
      <c r="R718" s="2" t="n"/>
      <c r="S718" s="2" t="n">
        <v>33.50877587060413</v>
      </c>
      <c r="T718" s="2" t="n">
        <v>-7.678191846878839</v>
      </c>
      <c r="U718" s="3" t="n">
        <v>12944</v>
      </c>
      <c r="V718" s="2" t="inlineStr"/>
      <c r="W718" s="6" t="inlineStr">
        <is>
          <t>https://yakeey.com/fr-ma/achat/biens/82704</t>
        </is>
      </c>
    </row>
    <row r="719">
      <c r="A719" t="inlineStr">
        <is>
          <t>82873</t>
        </is>
      </c>
      <c r="B719" t="inlineStr">
        <is>
          <t>APARTMENT</t>
        </is>
      </c>
      <c r="C719" t="inlineStr">
        <is>
          <t>Les Princesses</t>
        </is>
      </c>
      <c r="D719" t="inlineStr">
        <is>
          <t>Casablanca</t>
        </is>
      </c>
      <c r="E719" s="7" t="n">
        <v>2200000</v>
      </c>
      <c r="F719" s="8" t="n">
        <v>128</v>
      </c>
      <c r="G719" s="8" t="n"/>
      <c r="H719" s="8" t="n"/>
      <c r="I719" s="9">
        <f>IFERROR(E719/F719,"")</f>
        <v/>
      </c>
      <c r="J719" t="n">
        <v>3</v>
      </c>
      <c r="K719" t="n">
        <v>2</v>
      </c>
      <c r="P719" t="inlineStr">
        <is>
          <t>LISTED</t>
        </is>
      </c>
      <c r="S719" t="n">
        <v>33.57582615586263</v>
      </c>
      <c r="T719" t="n">
        <v>-7.647158575398512</v>
      </c>
      <c r="U719" s="7" t="n">
        <v>12656</v>
      </c>
      <c r="V719" t="inlineStr"/>
      <c r="W719" s="10" t="inlineStr">
        <is>
          <t>https://yakeey.com/fr-ma/achat/biens/82873</t>
        </is>
      </c>
    </row>
    <row r="720">
      <c r="A720" s="2" t="inlineStr">
        <is>
          <t>83893</t>
        </is>
      </c>
      <c r="B720" s="2" t="inlineStr">
        <is>
          <t>APARTMENT</t>
        </is>
      </c>
      <c r="C720" s="2" t="inlineStr">
        <is>
          <t>Liberte</t>
        </is>
      </c>
      <c r="D720" s="2" t="inlineStr">
        <is>
          <t>Casablanca</t>
        </is>
      </c>
      <c r="E720" s="3" t="n">
        <v>900000</v>
      </c>
      <c r="F720" s="4" t="n">
        <v>75</v>
      </c>
      <c r="G720" s="4" t="n"/>
      <c r="H720" s="4" t="n"/>
      <c r="I720" s="5">
        <f>IFERROR(E720/F720,"")</f>
        <v/>
      </c>
      <c r="J720" s="2" t="n">
        <v>2</v>
      </c>
      <c r="K720" s="2" t="n">
        <v>2</v>
      </c>
      <c r="L720" s="2" t="n"/>
      <c r="M720" s="2" t="n"/>
      <c r="N720" s="2" t="n"/>
      <c r="O720" s="2" t="n"/>
      <c r="P720" s="2" t="inlineStr">
        <is>
          <t>LISTED</t>
        </is>
      </c>
      <c r="Q720" s="2" t="n"/>
      <c r="R720" s="2" t="n"/>
      <c r="S720" s="2" t="n">
        <v>33.59025613780859</v>
      </c>
      <c r="T720" s="2" t="n">
        <v>-7.615509549605938</v>
      </c>
      <c r="U720" s="3" t="n">
        <v>5177</v>
      </c>
      <c r="V720" s="2" t="inlineStr"/>
      <c r="W720" s="6" t="inlineStr">
        <is>
          <t>https://yakeey.com/fr-ma/achat/biens/83893</t>
        </is>
      </c>
    </row>
    <row r="721">
      <c r="A721" t="inlineStr">
        <is>
          <t>83958</t>
        </is>
      </c>
      <c r="B721" t="inlineStr">
        <is>
          <t>APARTMENT</t>
        </is>
      </c>
      <c r="C721" t="inlineStr">
        <is>
          <t>Bachkou</t>
        </is>
      </c>
      <c r="D721" t="inlineStr">
        <is>
          <t>Casablanca</t>
        </is>
      </c>
      <c r="E721" s="7" t="n">
        <v>2067000</v>
      </c>
      <c r="F721" s="8" t="n">
        <v>106</v>
      </c>
      <c r="G721" s="8" t="n"/>
      <c r="H721" s="8" t="n"/>
      <c r="I721" s="9">
        <f>IFERROR(E721/F721,"")</f>
        <v/>
      </c>
      <c r="J721" t="n">
        <v>3</v>
      </c>
      <c r="K721" t="n">
        <v>2</v>
      </c>
      <c r="P721" t="inlineStr">
        <is>
          <t>LISTED</t>
        </is>
      </c>
      <c r="S721" t="n">
        <v>33.55754672192882</v>
      </c>
      <c r="T721" t="n">
        <v>-7.626081826347077</v>
      </c>
      <c r="U721" s="7" t="n">
        <v>11891</v>
      </c>
      <c r="V721" t="inlineStr"/>
      <c r="W721" s="10" t="inlineStr">
        <is>
          <t>https://yakeey.com/fr-ma/achat/biens/83958</t>
        </is>
      </c>
    </row>
    <row r="722">
      <c r="A722" s="2" t="inlineStr">
        <is>
          <t>84287</t>
        </is>
      </c>
      <c r="B722" s="2" t="inlineStr">
        <is>
          <t>APARTMENT</t>
        </is>
      </c>
      <c r="C722" s="2" t="inlineStr">
        <is>
          <t>Sidi Moumen</t>
        </is>
      </c>
      <c r="D722" s="2" t="inlineStr">
        <is>
          <t>Casablanca</t>
        </is>
      </c>
      <c r="E722" s="3" t="n">
        <v>650000</v>
      </c>
      <c r="F722" s="4" t="n">
        <v>72</v>
      </c>
      <c r="G722" s="4" t="n"/>
      <c r="H722" s="4" t="n"/>
      <c r="I722" s="5">
        <f>IFERROR(E722/F722,"")</f>
        <v/>
      </c>
      <c r="J722" s="2" t="n">
        <v>2</v>
      </c>
      <c r="K722" s="2" t="n">
        <v>1</v>
      </c>
      <c r="L722" s="2" t="n"/>
      <c r="M722" s="2" t="n"/>
      <c r="N722" s="2" t="n"/>
      <c r="O722" s="2" t="n"/>
      <c r="P722" s="2" t="inlineStr">
        <is>
          <t>LISTED</t>
        </is>
      </c>
      <c r="Q722" s="2" t="n"/>
      <c r="R722" s="2" t="n"/>
      <c r="S722" s="2" t="n">
        <v>33.57395539559837</v>
      </c>
      <c r="T722" s="2" t="n">
        <v>-7.509270347489915</v>
      </c>
      <c r="U722" s="3" t="n">
        <v>3739</v>
      </c>
      <c r="V722" s="2" t="inlineStr"/>
      <c r="W722" s="6" t="inlineStr">
        <is>
          <t>https://yakeey.com/fr-ma/achat/biens/84287</t>
        </is>
      </c>
    </row>
    <row r="723">
      <c r="A723" t="inlineStr">
        <is>
          <t>84725</t>
        </is>
      </c>
      <c r="B723" t="inlineStr">
        <is>
          <t>APARTMENT</t>
        </is>
      </c>
      <c r="C723" t="inlineStr">
        <is>
          <t>Derb Ghalef</t>
        </is>
      </c>
      <c r="D723" t="inlineStr">
        <is>
          <t>Casablanca</t>
        </is>
      </c>
      <c r="E723" s="7" t="n">
        <v>1900000</v>
      </c>
      <c r="F723" s="8" t="n">
        <v>127</v>
      </c>
      <c r="G723" s="8" t="n"/>
      <c r="H723" s="8" t="n"/>
      <c r="I723" s="9">
        <f>IFERROR(E723/F723,"")</f>
        <v/>
      </c>
      <c r="J723" t="n">
        <v>3</v>
      </c>
      <c r="K723" t="n">
        <v>2</v>
      </c>
      <c r="P723" t="inlineStr">
        <is>
          <t>LISTED</t>
        </is>
      </c>
      <c r="S723" t="n">
        <v>33.57088307948654</v>
      </c>
      <c r="T723" t="n">
        <v>-7.62881886939918</v>
      </c>
      <c r="U723" s="7" t="n">
        <v>10930</v>
      </c>
      <c r="V723" t="inlineStr"/>
      <c r="W723" s="10" t="inlineStr">
        <is>
          <t>https://yakeey.com/fr-ma/achat/biens/84725</t>
        </is>
      </c>
    </row>
    <row r="724">
      <c r="A724" s="2" t="inlineStr">
        <is>
          <t>86363</t>
        </is>
      </c>
      <c r="B724" s="2" t="inlineStr">
        <is>
          <t>APARTMENT</t>
        </is>
      </c>
      <c r="C724" s="2" t="inlineStr">
        <is>
          <t>Bourgogne (Sidi Belyout)</t>
        </is>
      </c>
      <c r="D724" s="2" t="inlineStr">
        <is>
          <t>Casablanca</t>
        </is>
      </c>
      <c r="E724" s="3" t="n">
        <v>2500000</v>
      </c>
      <c r="F724" s="4" t="n">
        <v>121</v>
      </c>
      <c r="G724" s="4" t="n"/>
      <c r="H724" s="4" t="n"/>
      <c r="I724" s="5">
        <f>IFERROR(E724/F724,"")</f>
        <v/>
      </c>
      <c r="J724" s="2" t="n">
        <v>2</v>
      </c>
      <c r="K724" s="2" t="n">
        <v>2</v>
      </c>
      <c r="L724" s="2" t="n"/>
      <c r="M724" s="2" t="n"/>
      <c r="N724" s="2" t="n"/>
      <c r="O724" s="2" t="n"/>
      <c r="P724" s="2" t="inlineStr">
        <is>
          <t>LISTED</t>
        </is>
      </c>
      <c r="Q724" s="2" t="n"/>
      <c r="R724" s="2" t="n"/>
      <c r="S724" s="2" t="n">
        <v>33.59197330165138</v>
      </c>
      <c r="T724" s="2" t="n">
        <v>-7.63598632666144</v>
      </c>
      <c r="U724" s="3" t="n">
        <v>14382</v>
      </c>
      <c r="V724" s="2" t="inlineStr"/>
      <c r="W724" s="6" t="inlineStr">
        <is>
          <t>https://yakeey.com/fr-ma/achat/biens/86363</t>
        </is>
      </c>
    </row>
    <row r="725">
      <c r="A725" t="inlineStr">
        <is>
          <t>8649</t>
        </is>
      </c>
      <c r="B725" t="inlineStr">
        <is>
          <t>APARTMENT</t>
        </is>
      </c>
      <c r="C725" t="inlineStr">
        <is>
          <t>Plateau</t>
        </is>
      </c>
      <c r="D725" t="inlineStr">
        <is>
          <t>Casablanca</t>
        </is>
      </c>
      <c r="E725" s="7" t="n">
        <v>2150000</v>
      </c>
      <c r="F725" s="8" t="n">
        <v>118</v>
      </c>
      <c r="G725" s="8" t="n"/>
      <c r="H725" s="8" t="n"/>
      <c r="I725" s="9">
        <f>IFERROR(E725/F725,"")</f>
        <v/>
      </c>
      <c r="J725" t="n">
        <v>2</v>
      </c>
      <c r="K725" t="n">
        <v>2</v>
      </c>
      <c r="P725" t="inlineStr">
        <is>
          <t>LISTED</t>
        </is>
      </c>
      <c r="S725" t="n">
        <v>33.57158147710478</v>
      </c>
      <c r="T725" t="n">
        <v>-7.640168545543309</v>
      </c>
      <c r="U725" s="7" t="n">
        <v>12369</v>
      </c>
      <c r="V725" t="inlineStr"/>
      <c r="W725" s="10" t="inlineStr">
        <is>
          <t>https://yakeey.com/fr-ma/achat/biens/8649</t>
        </is>
      </c>
    </row>
    <row r="726">
      <c r="A726" s="2" t="inlineStr">
        <is>
          <t>8650</t>
        </is>
      </c>
      <c r="B726" s="2" t="inlineStr">
        <is>
          <t>APARTMENT</t>
        </is>
      </c>
      <c r="C726" s="2" t="inlineStr">
        <is>
          <t>Plateau</t>
        </is>
      </c>
      <c r="D726" s="2" t="inlineStr">
        <is>
          <t>Casablanca</t>
        </is>
      </c>
      <c r="E726" s="3" t="n">
        <v>2150000</v>
      </c>
      <c r="F726" s="4" t="n">
        <v>118</v>
      </c>
      <c r="G726" s="4" t="n"/>
      <c r="H726" s="4" t="n"/>
      <c r="I726" s="5">
        <f>IFERROR(E726/F726,"")</f>
        <v/>
      </c>
      <c r="J726" s="2" t="n">
        <v>2</v>
      </c>
      <c r="K726" s="2" t="n">
        <v>2</v>
      </c>
      <c r="L726" s="2" t="n"/>
      <c r="M726" s="2" t="n"/>
      <c r="N726" s="2" t="n"/>
      <c r="O726" s="2" t="n"/>
      <c r="P726" s="2" t="inlineStr">
        <is>
          <t>LISTED</t>
        </is>
      </c>
      <c r="Q726" s="2" t="n"/>
      <c r="R726" s="2" t="n"/>
      <c r="S726" s="2" t="n">
        <v>33.57228399731199</v>
      </c>
      <c r="T726" s="2" t="n">
        <v>-7.640116714617262</v>
      </c>
      <c r="U726" s="3" t="n">
        <v>12369</v>
      </c>
      <c r="V726" s="2" t="inlineStr"/>
      <c r="W726" s="6" t="inlineStr">
        <is>
          <t>https://yakeey.com/fr-ma/achat/biens/8650</t>
        </is>
      </c>
    </row>
    <row r="727">
      <c r="A727" t="inlineStr">
        <is>
          <t>86932</t>
        </is>
      </c>
      <c r="B727" t="inlineStr">
        <is>
          <t>APARTMENT</t>
        </is>
      </c>
      <c r="C727" t="inlineStr">
        <is>
          <t>Oulfa</t>
        </is>
      </c>
      <c r="D727" t="inlineStr">
        <is>
          <t>Casablanca</t>
        </is>
      </c>
      <c r="E727" s="7" t="n">
        <v>1250000</v>
      </c>
      <c r="F727" s="8" t="n">
        <v>82</v>
      </c>
      <c r="G727" s="8" t="n"/>
      <c r="H727" s="8" t="n"/>
      <c r="I727" s="9">
        <f>IFERROR(E727/F727,"")</f>
        <v/>
      </c>
      <c r="J727" t="n">
        <v>3</v>
      </c>
      <c r="K727" t="n">
        <v>2</v>
      </c>
      <c r="P727" t="inlineStr">
        <is>
          <t>LISTED</t>
        </is>
      </c>
      <c r="S727" t="n">
        <v>33.54616022709951</v>
      </c>
      <c r="T727" t="n">
        <v>-7.68152460194318</v>
      </c>
      <c r="U727" s="7" t="n">
        <v>7191</v>
      </c>
      <c r="V727" t="inlineStr"/>
      <c r="W727" s="10" t="inlineStr">
        <is>
          <t>https://yakeey.com/fr-ma/achat/biens/86932</t>
        </is>
      </c>
    </row>
    <row r="728">
      <c r="A728" s="2" t="inlineStr">
        <is>
          <t>87195</t>
        </is>
      </c>
      <c r="B728" s="2" t="inlineStr">
        <is>
          <t>APARTMENT</t>
        </is>
      </c>
      <c r="C728" s="2" t="inlineStr">
        <is>
          <t>Beausejour</t>
        </is>
      </c>
      <c r="D728" s="2" t="inlineStr">
        <is>
          <t>Casablanca</t>
        </is>
      </c>
      <c r="E728" s="3" t="n">
        <v>1650000</v>
      </c>
      <c r="F728" s="4" t="n">
        <v>114</v>
      </c>
      <c r="G728" s="4" t="n"/>
      <c r="H728" s="4" t="n"/>
      <c r="I728" s="5">
        <f>IFERROR(E728/F728,"")</f>
        <v/>
      </c>
      <c r="J728" s="2" t="n">
        <v>3</v>
      </c>
      <c r="K728" s="2" t="n">
        <v>2</v>
      </c>
      <c r="L728" s="2" t="n"/>
      <c r="M728" s="2" t="n"/>
      <c r="N728" s="2" t="n"/>
      <c r="O728" s="2" t="n"/>
      <c r="P728" s="2" t="inlineStr">
        <is>
          <t>LISTED</t>
        </is>
      </c>
      <c r="Q728" s="2" t="n"/>
      <c r="R728" s="2" t="n"/>
      <c r="S728" s="2" t="n">
        <v>33.57006826363455</v>
      </c>
      <c r="T728" s="2" t="n">
        <v>-7.648489707014424</v>
      </c>
      <c r="U728" s="3" t="n">
        <v>9492</v>
      </c>
      <c r="V728" s="2" t="inlineStr"/>
      <c r="W728" s="6" t="inlineStr">
        <is>
          <t>https://yakeey.com/fr-ma/achat/biens/87195</t>
        </is>
      </c>
    </row>
    <row r="729">
      <c r="A729" t="inlineStr">
        <is>
          <t>87209</t>
        </is>
      </c>
      <c r="B729" t="inlineStr">
        <is>
          <t>APARTMENT</t>
        </is>
      </c>
      <c r="C729" t="inlineStr">
        <is>
          <t>Les Princesses</t>
        </is>
      </c>
      <c r="D729" t="inlineStr">
        <is>
          <t>Casablanca</t>
        </is>
      </c>
      <c r="E729" s="7" t="n">
        <v>1550000</v>
      </c>
      <c r="F729" s="8" t="n">
        <v>138</v>
      </c>
      <c r="G729" s="8" t="n"/>
      <c r="H729" s="8" t="n"/>
      <c r="I729" s="9">
        <f>IFERROR(E729/F729,"")</f>
        <v/>
      </c>
      <c r="J729" t="n">
        <v>2</v>
      </c>
      <c r="K729" t="n">
        <v>1</v>
      </c>
      <c r="P729" t="inlineStr">
        <is>
          <t>LISTED</t>
        </is>
      </c>
      <c r="S729" t="n">
        <v>33.57709013921837</v>
      </c>
      <c r="T729" t="n">
        <v>-7.646796893496666</v>
      </c>
      <c r="U729" s="7" t="n">
        <v>8917</v>
      </c>
      <c r="V729" t="inlineStr"/>
      <c r="W729" s="10" t="inlineStr">
        <is>
          <t>https://yakeey.com/fr-ma/achat/biens/87209</t>
        </is>
      </c>
    </row>
    <row r="730">
      <c r="A730" s="2" t="inlineStr">
        <is>
          <t>87476</t>
        </is>
      </c>
      <c r="B730" s="2" t="inlineStr">
        <is>
          <t>APARTMENT</t>
        </is>
      </c>
      <c r="C730" s="2" t="inlineStr">
        <is>
          <t>Palmier (Maarif)</t>
        </is>
      </c>
      <c r="D730" s="2" t="inlineStr">
        <is>
          <t>Casablanca</t>
        </is>
      </c>
      <c r="E730" s="3" t="n">
        <v>1450000</v>
      </c>
      <c r="F730" s="4" t="n">
        <v>104</v>
      </c>
      <c r="G730" s="4" t="n"/>
      <c r="H730" s="4" t="n"/>
      <c r="I730" s="5">
        <f>IFERROR(E730/F730,"")</f>
        <v/>
      </c>
      <c r="J730" s="2" t="n">
        <v>2</v>
      </c>
      <c r="K730" s="2" t="n">
        <v>1</v>
      </c>
      <c r="L730" s="2" t="n"/>
      <c r="M730" s="2" t="n"/>
      <c r="N730" s="2" t="n"/>
      <c r="O730" s="2" t="n"/>
      <c r="P730" s="2" t="inlineStr">
        <is>
          <t>LISTED</t>
        </is>
      </c>
      <c r="Q730" s="2" t="n"/>
      <c r="R730" s="2" t="n"/>
      <c r="S730" s="2" t="n">
        <v>33.58007381208331</v>
      </c>
      <c r="T730" s="2" t="n">
        <v>-7.631723852961976</v>
      </c>
      <c r="U730" s="3" t="n">
        <v>8341</v>
      </c>
      <c r="V730" s="2" t="inlineStr"/>
      <c r="W730" s="6" t="inlineStr">
        <is>
          <t>https://yakeey.com/fr-ma/achat/biens/87476</t>
        </is>
      </c>
    </row>
    <row r="731">
      <c r="A731" t="inlineStr">
        <is>
          <t>87738</t>
        </is>
      </c>
      <c r="B731" t="inlineStr">
        <is>
          <t>APARTMENT</t>
        </is>
      </c>
      <c r="C731" t="inlineStr">
        <is>
          <t>Cil</t>
        </is>
      </c>
      <c r="D731" t="inlineStr">
        <is>
          <t>Casablanca</t>
        </is>
      </c>
      <c r="E731" s="7" t="n">
        <v>1420000</v>
      </c>
      <c r="F731" s="8" t="n">
        <v>106</v>
      </c>
      <c r="G731" s="8" t="n"/>
      <c r="H731" s="8" t="n"/>
      <c r="I731" s="9">
        <f>IFERROR(E731/F731,"")</f>
        <v/>
      </c>
      <c r="J731" t="n">
        <v>3</v>
      </c>
      <c r="K731" t="n">
        <v>1</v>
      </c>
      <c r="P731" t="inlineStr">
        <is>
          <t>LISTED</t>
        </is>
      </c>
      <c r="S731" t="n">
        <v>33.57255352963352</v>
      </c>
      <c r="T731" t="n">
        <v>-7.655957667044146</v>
      </c>
      <c r="U731" s="7" t="n">
        <v>8169</v>
      </c>
      <c r="V731" t="inlineStr"/>
      <c r="W731" s="10" t="inlineStr">
        <is>
          <t>https://yakeey.com/fr-ma/achat/biens/87738</t>
        </is>
      </c>
    </row>
    <row r="732">
      <c r="A732" s="2" t="inlineStr">
        <is>
          <t>88108</t>
        </is>
      </c>
      <c r="B732" s="2" t="inlineStr">
        <is>
          <t>APARTMENT</t>
        </is>
      </c>
      <c r="C732" s="2" t="inlineStr">
        <is>
          <t>Lissasfa</t>
        </is>
      </c>
      <c r="D732" s="2" t="inlineStr">
        <is>
          <t>Casablanca</t>
        </is>
      </c>
      <c r="E732" s="3" t="n">
        <v>1650000</v>
      </c>
      <c r="F732" s="4" t="n">
        <v>212</v>
      </c>
      <c r="G732" s="4" t="n"/>
      <c r="H732" s="4" t="n"/>
      <c r="I732" s="5">
        <f>IFERROR(E732/F732,"")</f>
        <v/>
      </c>
      <c r="J732" s="2" t="n">
        <v>3</v>
      </c>
      <c r="K732" s="2" t="n">
        <v>2</v>
      </c>
      <c r="L732" s="2" t="n"/>
      <c r="M732" s="2" t="n"/>
      <c r="N732" s="2" t="n"/>
      <c r="O732" s="2" t="n"/>
      <c r="P732" s="2" t="inlineStr">
        <is>
          <t>LISTED</t>
        </is>
      </c>
      <c r="Q732" s="2" t="n"/>
      <c r="R732" s="2" t="n"/>
      <c r="S732" s="2" t="n">
        <v>33.54148959941828</v>
      </c>
      <c r="T732" s="2" t="n">
        <v>-7.671578827820206</v>
      </c>
      <c r="U732" s="3" t="n">
        <v>9492</v>
      </c>
      <c r="V732" s="2" t="inlineStr"/>
      <c r="W732" s="6" t="inlineStr">
        <is>
          <t>https://yakeey.com/fr-ma/achat/biens/88108</t>
        </is>
      </c>
    </row>
    <row r="733">
      <c r="A733" t="inlineStr">
        <is>
          <t>88400</t>
        </is>
      </c>
      <c r="B733" t="inlineStr">
        <is>
          <t>APARTMENT</t>
        </is>
      </c>
      <c r="C733" t="inlineStr">
        <is>
          <t>Triangle D'Or</t>
        </is>
      </c>
      <c r="D733" t="inlineStr">
        <is>
          <t>Casablanca</t>
        </is>
      </c>
      <c r="E733" s="7" t="n">
        <v>3900000</v>
      </c>
      <c r="F733" s="8" t="n">
        <v>250</v>
      </c>
      <c r="G733" s="8" t="n"/>
      <c r="H733" s="8" t="n"/>
      <c r="I733" s="9">
        <f>IFERROR(E733/F733,"")</f>
        <v/>
      </c>
      <c r="J733" t="n">
        <v>4</v>
      </c>
      <c r="K733" t="n">
        <v>4</v>
      </c>
      <c r="P733" t="inlineStr">
        <is>
          <t>LISTED</t>
        </is>
      </c>
      <c r="S733" t="n">
        <v>33.58585784202095</v>
      </c>
      <c r="T733" t="n">
        <v>-7.637111612085297</v>
      </c>
      <c r="U733" s="7" t="n">
        <v>22436</v>
      </c>
      <c r="V733" t="inlineStr"/>
      <c r="W733" s="10" t="inlineStr">
        <is>
          <t>https://yakeey.com/fr-ma/achat/biens/88400</t>
        </is>
      </c>
    </row>
    <row r="734">
      <c r="A734" s="2" t="inlineStr">
        <is>
          <t>88748</t>
        </is>
      </c>
      <c r="B734" s="2" t="inlineStr">
        <is>
          <t>APARTMENT</t>
        </is>
      </c>
      <c r="C734" s="2" t="inlineStr">
        <is>
          <t>Beausite</t>
        </is>
      </c>
      <c r="D734" s="2" t="inlineStr">
        <is>
          <t>Casablanca</t>
        </is>
      </c>
      <c r="E734" s="3" t="n">
        <v>880000</v>
      </c>
      <c r="F734" s="4" t="n">
        <v>82</v>
      </c>
      <c r="G734" s="4" t="n"/>
      <c r="H734" s="4" t="n"/>
      <c r="I734" s="5">
        <f>IFERROR(E734/F734,"")</f>
        <v/>
      </c>
      <c r="J734" s="2" t="n">
        <v>3</v>
      </c>
      <c r="K734" s="2" t="n">
        <v>2</v>
      </c>
      <c r="L734" s="2" t="n"/>
      <c r="M734" s="2" t="n"/>
      <c r="N734" s="2" t="n"/>
      <c r="O734" s="2" t="n"/>
      <c r="P734" s="2" t="inlineStr">
        <is>
          <t>LISTED</t>
        </is>
      </c>
      <c r="Q734" s="2" t="n"/>
      <c r="R734" s="2" t="n"/>
      <c r="S734" s="2" t="n">
        <v>33.6004588867884</v>
      </c>
      <c r="T734" s="2" t="n">
        <v>-7.526135262230323</v>
      </c>
      <c r="U734" s="3" t="n">
        <v>5062</v>
      </c>
      <c r="V734" s="2" t="inlineStr"/>
      <c r="W734" s="6" t="inlineStr">
        <is>
          <t>https://yakeey.com/fr-ma/achat/biens/88748</t>
        </is>
      </c>
    </row>
    <row r="735">
      <c r="A735" t="inlineStr">
        <is>
          <t>88761</t>
        </is>
      </c>
      <c r="B735" t="inlineStr">
        <is>
          <t>APARTMENT</t>
        </is>
      </c>
      <c r="C735" t="inlineStr">
        <is>
          <t>Racine</t>
        </is>
      </c>
      <c r="D735" t="inlineStr">
        <is>
          <t>Casablanca</t>
        </is>
      </c>
      <c r="E735" s="7" t="n">
        <v>2900000</v>
      </c>
      <c r="F735" s="8" t="n">
        <v>174</v>
      </c>
      <c r="G735" s="8" t="n"/>
      <c r="H735" s="8" t="n"/>
      <c r="I735" s="9">
        <f>IFERROR(E735/F735,"")</f>
        <v/>
      </c>
      <c r="J735" t="n">
        <v>4</v>
      </c>
      <c r="K735" t="n">
        <v>3</v>
      </c>
      <c r="P735" t="inlineStr">
        <is>
          <t>LISTED</t>
        </is>
      </c>
      <c r="S735" t="n">
        <v>33.58587820075084</v>
      </c>
      <c r="T735" t="n">
        <v>-7.639793062350922</v>
      </c>
      <c r="U735" s="7" t="n">
        <v>16683</v>
      </c>
      <c r="V735" t="inlineStr"/>
      <c r="W735" s="10" t="inlineStr">
        <is>
          <t>https://yakeey.com/fr-ma/achat/biens/88761</t>
        </is>
      </c>
    </row>
    <row r="736">
      <c r="A736" s="2" t="inlineStr">
        <is>
          <t>88832</t>
        </is>
      </c>
      <c r="B736" s="2" t="inlineStr">
        <is>
          <t>APARTMENT</t>
        </is>
      </c>
      <c r="C736" s="2" t="inlineStr">
        <is>
          <t>Sidi Bernoussi</t>
        </is>
      </c>
      <c r="D736" s="2" t="inlineStr">
        <is>
          <t>Casablanca</t>
        </is>
      </c>
      <c r="E736" s="3" t="n">
        <v>1000000</v>
      </c>
      <c r="F736" s="4" t="n">
        <v>107</v>
      </c>
      <c r="G736" s="4" t="n"/>
      <c r="H736" s="4" t="n"/>
      <c r="I736" s="5">
        <f>IFERROR(E736/F736,"")</f>
        <v/>
      </c>
      <c r="J736" s="2" t="n">
        <v>4</v>
      </c>
      <c r="K736" s="2" t="n">
        <v>2</v>
      </c>
      <c r="L736" s="2" t="n"/>
      <c r="M736" s="2" t="n"/>
      <c r="N736" s="2" t="n"/>
      <c r="O736" s="2" t="n"/>
      <c r="P736" s="2" t="inlineStr">
        <is>
          <t>LISTED</t>
        </is>
      </c>
      <c r="Q736" s="2" t="n"/>
      <c r="R736" s="2" t="n"/>
      <c r="S736" s="2" t="n">
        <v>33.6209612996581</v>
      </c>
      <c r="T736" s="2" t="n">
        <v>-7.487463242515996</v>
      </c>
      <c r="U736" s="3" t="n">
        <v>5753</v>
      </c>
      <c r="V736" s="2" t="inlineStr"/>
      <c r="W736" s="6" t="inlineStr">
        <is>
          <t>https://yakeey.com/fr-ma/achat/biens/88832</t>
        </is>
      </c>
    </row>
    <row r="737">
      <c r="A737" t="inlineStr">
        <is>
          <t>8888</t>
        </is>
      </c>
      <c r="B737" t="inlineStr">
        <is>
          <t>APARTMENT</t>
        </is>
      </c>
      <c r="C737" t="inlineStr">
        <is>
          <t>Gauthier</t>
        </is>
      </c>
      <c r="D737" t="inlineStr">
        <is>
          <t>Casablanca</t>
        </is>
      </c>
      <c r="E737" s="7" t="n">
        <v>3200000</v>
      </c>
      <c r="F737" s="8" t="n">
        <v>222</v>
      </c>
      <c r="G737" s="8" t="n"/>
      <c r="H737" s="8" t="n"/>
      <c r="I737" s="9">
        <f>IFERROR(E737/F737,"")</f>
        <v/>
      </c>
      <c r="J737" t="n">
        <v>3</v>
      </c>
      <c r="K737" t="n">
        <v>3</v>
      </c>
      <c r="P737" t="inlineStr">
        <is>
          <t>LISTED</t>
        </is>
      </c>
      <c r="S737" t="n">
        <v>33.59021248211714</v>
      </c>
      <c r="T737" t="n">
        <v>-7.630859959317807</v>
      </c>
      <c r="U737" s="7" t="n">
        <v>18409</v>
      </c>
      <c r="V737" t="inlineStr"/>
      <c r="W737" s="10" t="inlineStr">
        <is>
          <t>https://yakeey.com/fr-ma/achat/biens/8888</t>
        </is>
      </c>
    </row>
    <row r="738">
      <c r="A738" s="2" t="inlineStr">
        <is>
          <t>89176</t>
        </is>
      </c>
      <c r="B738" s="2" t="inlineStr">
        <is>
          <t>APARTMENT</t>
        </is>
      </c>
      <c r="C738" s="2" t="inlineStr">
        <is>
          <t>Plateau</t>
        </is>
      </c>
      <c r="D738" s="2" t="inlineStr">
        <is>
          <t>Casablanca</t>
        </is>
      </c>
      <c r="E738" s="3" t="n">
        <v>1750000</v>
      </c>
      <c r="F738" s="4" t="n">
        <v>150</v>
      </c>
      <c r="G738" s="4" t="n"/>
      <c r="H738" s="4" t="n"/>
      <c r="I738" s="5">
        <f>IFERROR(E738/F738,"")</f>
        <v/>
      </c>
      <c r="J738" s="2" t="n">
        <v>3</v>
      </c>
      <c r="K738" s="2" t="n">
        <v>2</v>
      </c>
      <c r="L738" s="2" t="n"/>
      <c r="M738" s="2" t="n"/>
      <c r="N738" s="2" t="n"/>
      <c r="O738" s="2" t="n"/>
      <c r="P738" s="2" t="inlineStr">
        <is>
          <t>LISTED</t>
        </is>
      </c>
      <c r="Q738" s="2" t="n"/>
      <c r="R738" s="2" t="n"/>
      <c r="S738" s="2" t="n">
        <v>33.57507270276876</v>
      </c>
      <c r="T738" s="2" t="n">
        <v>-7.636959171216144</v>
      </c>
      <c r="U738" s="3" t="n">
        <v>10067</v>
      </c>
      <c r="V738" s="2" t="inlineStr"/>
      <c r="W738" s="6" t="inlineStr">
        <is>
          <t>https://yakeey.com/fr-ma/achat/biens/89176</t>
        </is>
      </c>
    </row>
    <row r="739">
      <c r="A739" t="inlineStr">
        <is>
          <t>90589</t>
        </is>
      </c>
      <c r="B739" t="inlineStr">
        <is>
          <t>APARTMENT</t>
        </is>
      </c>
      <c r="C739" t="inlineStr">
        <is>
          <t>Ferme Bretonne</t>
        </is>
      </c>
      <c r="D739" t="inlineStr">
        <is>
          <t>Casablanca</t>
        </is>
      </c>
      <c r="E739" s="7" t="n">
        <v>2000000</v>
      </c>
      <c r="F739" s="8" t="n">
        <v>106</v>
      </c>
      <c r="G739" s="8" t="n"/>
      <c r="H739" s="8" t="n"/>
      <c r="I739" s="9">
        <f>IFERROR(E739/F739,"")</f>
        <v/>
      </c>
      <c r="J739" t="n">
        <v>2</v>
      </c>
      <c r="K739" t="n">
        <v>2</v>
      </c>
      <c r="P739" t="inlineStr">
        <is>
          <t>LISTED</t>
        </is>
      </c>
      <c r="S739" t="n">
        <v>33.55329570862224</v>
      </c>
      <c r="T739" t="n">
        <v>-7.645363770771734</v>
      </c>
      <c r="U739" s="7" t="n">
        <v>11506</v>
      </c>
      <c r="V739" t="inlineStr"/>
      <c r="W739" s="10" t="inlineStr">
        <is>
          <t>https://yakeey.com/fr-ma/achat/biens/90589</t>
        </is>
      </c>
    </row>
    <row r="740">
      <c r="A740" s="2" t="inlineStr">
        <is>
          <t>90614</t>
        </is>
      </c>
      <c r="B740" s="2" t="inlineStr">
        <is>
          <t>APARTMENT</t>
        </is>
      </c>
      <c r="C740" s="2" t="inlineStr">
        <is>
          <t>Hopitaux</t>
        </is>
      </c>
      <c r="D740" s="2" t="inlineStr">
        <is>
          <t>Casablanca</t>
        </is>
      </c>
      <c r="E740" s="3" t="n">
        <v>1380000</v>
      </c>
      <c r="F740" s="4" t="n">
        <v>116</v>
      </c>
      <c r="G740" s="4" t="n"/>
      <c r="H740" s="4" t="n"/>
      <c r="I740" s="5">
        <f>IFERROR(E740/F740,"")</f>
        <v/>
      </c>
      <c r="J740" s="2" t="n">
        <v>2</v>
      </c>
      <c r="K740" s="2" t="n">
        <v>1</v>
      </c>
      <c r="L740" s="2" t="n"/>
      <c r="M740" s="2" t="n"/>
      <c r="N740" s="2" t="n"/>
      <c r="O740" s="2" t="n"/>
      <c r="P740" s="2" t="inlineStr">
        <is>
          <t>LISTED</t>
        </is>
      </c>
      <c r="Q740" s="2" t="n"/>
      <c r="R740" s="2" t="n"/>
      <c r="S740" s="2" t="n">
        <v>33.58160039347988</v>
      </c>
      <c r="T740" s="2" t="n">
        <v>-7.615397150330496</v>
      </c>
      <c r="U740" s="3" t="n">
        <v>7939</v>
      </c>
      <c r="V740" s="2" t="inlineStr"/>
      <c r="W740" s="6" t="inlineStr">
        <is>
          <t>https://yakeey.com/fr-ma/achat/biens/90614</t>
        </is>
      </c>
    </row>
    <row r="741">
      <c r="A741" t="inlineStr">
        <is>
          <t>91081</t>
        </is>
      </c>
      <c r="B741" t="inlineStr">
        <is>
          <t>APARTMENT</t>
        </is>
      </c>
      <c r="C741" t="inlineStr">
        <is>
          <t>Azhar Oulfa 2</t>
        </is>
      </c>
      <c r="D741" t="inlineStr">
        <is>
          <t>Casablanca</t>
        </is>
      </c>
      <c r="E741" s="7" t="n">
        <v>750000</v>
      </c>
      <c r="F741" s="8" t="n">
        <v>72</v>
      </c>
      <c r="G741" s="8" t="n"/>
      <c r="H741" s="8" t="n"/>
      <c r="I741" s="9">
        <f>IFERROR(E741/F741,"")</f>
        <v/>
      </c>
      <c r="J741" t="n">
        <v>3</v>
      </c>
      <c r="K741" t="n">
        <v>1</v>
      </c>
      <c r="P741" t="inlineStr">
        <is>
          <t>LISTED</t>
        </is>
      </c>
      <c r="S741" t="n">
        <v>33.54798742852341</v>
      </c>
      <c r="T741" t="n">
        <v>-7.706618329710319</v>
      </c>
      <c r="U741" s="7" t="n">
        <v>4314</v>
      </c>
      <c r="V741" t="inlineStr"/>
      <c r="W741" s="10" t="inlineStr">
        <is>
          <t>https://yakeey.com/fr-ma/achat/biens/91081</t>
        </is>
      </c>
    </row>
    <row r="742">
      <c r="A742" s="2" t="inlineStr">
        <is>
          <t>91097</t>
        </is>
      </c>
      <c r="B742" s="2" t="inlineStr">
        <is>
          <t>APARTMENT</t>
        </is>
      </c>
      <c r="C742" s="2" t="inlineStr">
        <is>
          <t>Plateau</t>
        </is>
      </c>
      <c r="D742" s="2" t="inlineStr">
        <is>
          <t>Casablanca</t>
        </is>
      </c>
      <c r="E742" s="3" t="n">
        <v>1150000</v>
      </c>
      <c r="F742" s="4" t="n">
        <v>46</v>
      </c>
      <c r="G742" s="4" t="n"/>
      <c r="H742" s="4" t="n"/>
      <c r="I742" s="5">
        <f>IFERROR(E742/F742,"")</f>
        <v/>
      </c>
      <c r="J742" s="2" t="n">
        <v>2</v>
      </c>
      <c r="K742" s="2" t="n">
        <v>1</v>
      </c>
      <c r="L742" s="2" t="n"/>
      <c r="M742" s="2" t="n"/>
      <c r="N742" s="2" t="n"/>
      <c r="O742" s="2" t="n"/>
      <c r="P742" s="2" t="inlineStr">
        <is>
          <t>LISTED</t>
        </is>
      </c>
      <c r="Q742" s="2" t="n"/>
      <c r="R742" s="2" t="n"/>
      <c r="S742" s="2" t="n">
        <v>33.56583819978492</v>
      </c>
      <c r="T742" s="2" t="n">
        <v>-7.638004883804495</v>
      </c>
      <c r="U742" s="3" t="n">
        <v>6616</v>
      </c>
      <c r="V742" s="2" t="inlineStr"/>
      <c r="W742" s="6" t="inlineStr">
        <is>
          <t>https://yakeey.com/fr-ma/achat/biens/91097</t>
        </is>
      </c>
    </row>
    <row r="743">
      <c r="A743" t="inlineStr">
        <is>
          <t>91137</t>
        </is>
      </c>
      <c r="B743" t="inlineStr">
        <is>
          <t>APARTMENT</t>
        </is>
      </c>
      <c r="C743" t="inlineStr">
        <is>
          <t>Racine</t>
        </is>
      </c>
      <c r="D743" t="inlineStr">
        <is>
          <t>Casablanca</t>
        </is>
      </c>
      <c r="E743" s="7" t="n">
        <v>2950000</v>
      </c>
      <c r="F743" s="8" t="n">
        <v>199</v>
      </c>
      <c r="G743" s="8" t="n"/>
      <c r="H743" s="8" t="n"/>
      <c r="I743" s="9">
        <f>IFERROR(E743/F743,"")</f>
        <v/>
      </c>
      <c r="J743" t="n">
        <v>3</v>
      </c>
      <c r="K743" t="n">
        <v>2</v>
      </c>
      <c r="P743" t="inlineStr">
        <is>
          <t>LISTED</t>
        </is>
      </c>
      <c r="S743" t="n">
        <v>33.59261952628791</v>
      </c>
      <c r="T743" t="n">
        <v>-7.641566902822306</v>
      </c>
      <c r="U743" s="7" t="n">
        <v>16971</v>
      </c>
      <c r="V743" t="inlineStr"/>
      <c r="W743" s="10" t="inlineStr">
        <is>
          <t>https://yakeey.com/fr-ma/achat/biens/91137</t>
        </is>
      </c>
    </row>
    <row r="744">
      <c r="A744" s="2" t="inlineStr">
        <is>
          <t>91518</t>
        </is>
      </c>
      <c r="B744" s="2" t="inlineStr">
        <is>
          <t>APARTMENT</t>
        </is>
      </c>
      <c r="C744" s="2" t="inlineStr">
        <is>
          <t>Maarif</t>
        </is>
      </c>
      <c r="D744" s="2" t="inlineStr">
        <is>
          <t>Casablanca</t>
        </is>
      </c>
      <c r="E744" s="3" t="n">
        <v>1250000</v>
      </c>
      <c r="F744" s="4" t="n">
        <v>118</v>
      </c>
      <c r="G744" s="4" t="n"/>
      <c r="H744" s="4" t="n"/>
      <c r="I744" s="5">
        <f>IFERROR(E744/F744,"")</f>
        <v/>
      </c>
      <c r="J744" s="2" t="n">
        <v>3</v>
      </c>
      <c r="K744" s="2" t="n">
        <v>1</v>
      </c>
      <c r="L744" s="2" t="n"/>
      <c r="M744" s="2" t="n"/>
      <c r="N744" s="2" t="n"/>
      <c r="O744" s="2" t="n"/>
      <c r="P744" s="2" t="inlineStr">
        <is>
          <t>LISTED</t>
        </is>
      </c>
      <c r="Q744" s="2" t="n"/>
      <c r="R744" s="2" t="n"/>
      <c r="S744" s="2" t="n">
        <v>33.58351817778009</v>
      </c>
      <c r="T744" s="2" t="n">
        <v>-7.630977907317821</v>
      </c>
      <c r="U744" s="3" t="n">
        <v>7191</v>
      </c>
      <c r="V744" s="2" t="inlineStr"/>
      <c r="W744" s="6" t="inlineStr">
        <is>
          <t>https://yakeey.com/fr-ma/achat/biens/91518</t>
        </is>
      </c>
    </row>
    <row r="745">
      <c r="A745" t="inlineStr">
        <is>
          <t>91597</t>
        </is>
      </c>
      <c r="B745" t="inlineStr">
        <is>
          <t>APARTMENT</t>
        </is>
      </c>
      <c r="C745" t="inlineStr">
        <is>
          <t>Maarif</t>
        </is>
      </c>
      <c r="D745" t="inlineStr">
        <is>
          <t>Casablanca</t>
        </is>
      </c>
      <c r="E745" s="7" t="n">
        <v>1600000</v>
      </c>
      <c r="F745" s="8" t="n">
        <v>101</v>
      </c>
      <c r="G745" s="8" t="n"/>
      <c r="H745" s="8" t="n"/>
      <c r="I745" s="9">
        <f>IFERROR(E745/F745,"")</f>
        <v/>
      </c>
      <c r="J745" t="n">
        <v>2</v>
      </c>
      <c r="K745" t="n">
        <v>1</v>
      </c>
      <c r="P745" t="inlineStr">
        <is>
          <t>LISTED</t>
        </is>
      </c>
      <c r="S745" t="n">
        <v>33.57924835570446</v>
      </c>
      <c r="T745" t="n">
        <v>-7.636779454696383</v>
      </c>
      <c r="U745" s="7" t="n">
        <v>9204</v>
      </c>
      <c r="V745" t="inlineStr"/>
      <c r="W745" s="10" t="inlineStr">
        <is>
          <t>https://yakeey.com/fr-ma/achat/biens/91597</t>
        </is>
      </c>
    </row>
    <row r="746">
      <c r="A746" s="2" t="inlineStr">
        <is>
          <t>91841</t>
        </is>
      </c>
      <c r="B746" s="2" t="inlineStr">
        <is>
          <t>APARTMENT</t>
        </is>
      </c>
      <c r="C746" s="2" t="inlineStr">
        <is>
          <t>Bourgogne (Anfa)</t>
        </is>
      </c>
      <c r="D746" s="2" t="inlineStr">
        <is>
          <t>Casablanca</t>
        </is>
      </c>
      <c r="E746" s="3" t="n">
        <v>1870000</v>
      </c>
      <c r="F746" s="4" t="n">
        <v>106</v>
      </c>
      <c r="G746" s="4" t="n"/>
      <c r="H746" s="4" t="n"/>
      <c r="I746" s="5">
        <f>IFERROR(E746/F746,"")</f>
        <v/>
      </c>
      <c r="J746" s="2" t="n">
        <v>2</v>
      </c>
      <c r="K746" s="2" t="n">
        <v>2</v>
      </c>
      <c r="L746" s="2" t="n"/>
      <c r="M746" s="2" t="n"/>
      <c r="N746" s="2" t="n"/>
      <c r="O746" s="2" t="n"/>
      <c r="P746" s="2" t="inlineStr">
        <is>
          <t>LISTED</t>
        </is>
      </c>
      <c r="Q746" s="2" t="n"/>
      <c r="R746" s="2" t="n"/>
      <c r="S746" s="2" t="n">
        <v>33.60279399430167</v>
      </c>
      <c r="T746" s="2" t="n">
        <v>-7.645918488568792</v>
      </c>
      <c r="U746" s="3" t="n">
        <v>10758</v>
      </c>
      <c r="V746" s="2" t="inlineStr"/>
      <c r="W746" s="6" t="inlineStr">
        <is>
          <t>https://yakeey.com/fr-ma/achat/biens/91841</t>
        </is>
      </c>
    </row>
    <row r="747">
      <c r="A747" t="inlineStr">
        <is>
          <t>92361</t>
        </is>
      </c>
      <c r="B747" t="inlineStr">
        <is>
          <t>APARTMENT</t>
        </is>
      </c>
      <c r="C747" t="inlineStr">
        <is>
          <t>Al Azhar</t>
        </is>
      </c>
      <c r="D747" t="inlineStr">
        <is>
          <t>Casablanca</t>
        </is>
      </c>
      <c r="E747" s="7" t="n">
        <v>580000</v>
      </c>
      <c r="F747" s="8" t="n">
        <v>71</v>
      </c>
      <c r="G747" s="8" t="n"/>
      <c r="H747" s="8" t="n"/>
      <c r="I747" s="9">
        <f>IFERROR(E747/F747,"")</f>
        <v/>
      </c>
      <c r="J747" t="n">
        <v>2</v>
      </c>
      <c r="K747" t="n">
        <v>1</v>
      </c>
      <c r="P747" t="inlineStr">
        <is>
          <t>LISTED</t>
        </is>
      </c>
      <c r="S747" t="n">
        <v>33.60457191109848</v>
      </c>
      <c r="T747" t="n">
        <v>-7.48458370392431</v>
      </c>
      <c r="U747" s="7" t="n">
        <v>3336</v>
      </c>
      <c r="V747" t="inlineStr"/>
      <c r="W747" s="10" t="inlineStr">
        <is>
          <t>https://yakeey.com/fr-ma/achat/biens/92361</t>
        </is>
      </c>
    </row>
    <row r="748">
      <c r="A748" s="2" t="inlineStr">
        <is>
          <t>92593</t>
        </is>
      </c>
      <c r="B748" s="2" t="inlineStr">
        <is>
          <t>APARTMENT</t>
        </is>
      </c>
      <c r="C748" s="2" t="inlineStr">
        <is>
          <t>Derb Ghalef</t>
        </is>
      </c>
      <c r="D748" s="2" t="inlineStr">
        <is>
          <t>Casablanca</t>
        </is>
      </c>
      <c r="E748" s="3" t="n">
        <v>2900000</v>
      </c>
      <c r="F748" s="4" t="n">
        <v>179</v>
      </c>
      <c r="G748" s="4" t="n"/>
      <c r="H748" s="4" t="n"/>
      <c r="I748" s="5">
        <f>IFERROR(E748/F748,"")</f>
        <v/>
      </c>
      <c r="J748" s="2" t="n">
        <v>3</v>
      </c>
      <c r="K748" s="2" t="n">
        <v>2</v>
      </c>
      <c r="L748" s="2" t="n"/>
      <c r="M748" s="2" t="n"/>
      <c r="N748" s="2" t="n"/>
      <c r="O748" s="2" t="n"/>
      <c r="P748" s="2" t="inlineStr">
        <is>
          <t>LISTED</t>
        </is>
      </c>
      <c r="Q748" s="2" t="n"/>
      <c r="R748" s="2" t="n"/>
      <c r="S748" s="2" t="n">
        <v>33.57429545938546</v>
      </c>
      <c r="T748" s="2" t="n">
        <v>-7.625779399348028</v>
      </c>
      <c r="U748" s="3" t="n">
        <v>16683</v>
      </c>
      <c r="V748" s="2" t="inlineStr"/>
      <c r="W748" s="6" t="inlineStr">
        <is>
          <t>https://yakeey.com/fr-ma/achat/biens/92593</t>
        </is>
      </c>
    </row>
    <row r="749">
      <c r="A749" t="inlineStr">
        <is>
          <t>93611</t>
        </is>
      </c>
      <c r="B749" t="inlineStr">
        <is>
          <t>APARTMENT</t>
        </is>
      </c>
      <c r="C749" t="inlineStr">
        <is>
          <t>Bournazil</t>
        </is>
      </c>
      <c r="D749" t="inlineStr">
        <is>
          <t>Casablanca</t>
        </is>
      </c>
      <c r="E749" s="7" t="n">
        <v>750000</v>
      </c>
      <c r="F749" s="8" t="n">
        <v>82</v>
      </c>
      <c r="G749" s="8" t="n"/>
      <c r="H749" s="8" t="n"/>
      <c r="I749" s="9">
        <f>IFERROR(E749/F749,"")</f>
        <v/>
      </c>
      <c r="J749" t="n">
        <v>3</v>
      </c>
      <c r="K749" t="n">
        <v>2</v>
      </c>
      <c r="P749" t="inlineStr">
        <is>
          <t>LISTED</t>
        </is>
      </c>
      <c r="S749" t="n">
        <v>33.57604030787667</v>
      </c>
      <c r="T749" t="n">
        <v>-7.55662924234764</v>
      </c>
      <c r="U749" s="7" t="n">
        <v>4314</v>
      </c>
      <c r="V749" t="inlineStr"/>
      <c r="W749" s="10" t="inlineStr">
        <is>
          <t>https://yakeey.com/fr-ma/achat/biens/93611</t>
        </is>
      </c>
    </row>
    <row r="750">
      <c r="A750" s="2" t="inlineStr">
        <is>
          <t>94364</t>
        </is>
      </c>
      <c r="B750" s="2" t="inlineStr">
        <is>
          <t>APARTMENT</t>
        </is>
      </c>
      <c r="C750" s="2" t="inlineStr">
        <is>
          <t>Plateau</t>
        </is>
      </c>
      <c r="D750" s="2" t="inlineStr">
        <is>
          <t>Casablanca</t>
        </is>
      </c>
      <c r="E750" s="3" t="n">
        <v>2950000</v>
      </c>
      <c r="F750" s="4" t="n">
        <v>222</v>
      </c>
      <c r="G750" s="4" t="n"/>
      <c r="H750" s="4" t="n"/>
      <c r="I750" s="5">
        <f>IFERROR(E750/F750,"")</f>
        <v/>
      </c>
      <c r="J750" s="2" t="n">
        <v>3</v>
      </c>
      <c r="K750" s="2" t="n">
        <v>2</v>
      </c>
      <c r="L750" s="2" t="n"/>
      <c r="M750" s="2" t="n"/>
      <c r="N750" s="2" t="n"/>
      <c r="O750" s="2" t="n"/>
      <c r="P750" s="2" t="inlineStr">
        <is>
          <t>LISTED</t>
        </is>
      </c>
      <c r="Q750" s="2" t="n"/>
      <c r="R750" s="2" t="n"/>
      <c r="S750" s="2" t="n">
        <v>33.57442542358415</v>
      </c>
      <c r="T750" s="2" t="n">
        <v>-7.638044320990677</v>
      </c>
      <c r="U750" s="3" t="n">
        <v>16971</v>
      </c>
      <c r="V750" s="2" t="inlineStr"/>
      <c r="W750" s="6" t="inlineStr">
        <is>
          <t>https://yakeey.com/fr-ma/achat/biens/94364</t>
        </is>
      </c>
    </row>
    <row r="751">
      <c r="A751" t="inlineStr">
        <is>
          <t>94471</t>
        </is>
      </c>
      <c r="B751" t="inlineStr">
        <is>
          <t>APARTMENT</t>
        </is>
      </c>
      <c r="C751" t="inlineStr">
        <is>
          <t>Hopitaux</t>
        </is>
      </c>
      <c r="D751" t="inlineStr">
        <is>
          <t>Casablanca</t>
        </is>
      </c>
      <c r="E751" s="7" t="n">
        <v>1500000</v>
      </c>
      <c r="F751" s="8" t="n">
        <v>129</v>
      </c>
      <c r="G751" s="8" t="n"/>
      <c r="H751" s="8" t="n"/>
      <c r="I751" s="9">
        <f>IFERROR(E751/F751,"")</f>
        <v/>
      </c>
      <c r="J751" t="n">
        <v>4</v>
      </c>
      <c r="K751" t="n">
        <v>2</v>
      </c>
      <c r="P751" t="inlineStr">
        <is>
          <t>LISTED</t>
        </is>
      </c>
      <c r="S751" t="n">
        <v>33.57591096973555</v>
      </c>
      <c r="T751" t="n">
        <v>-7.614158755347308</v>
      </c>
      <c r="U751" s="7" t="n">
        <v>8629</v>
      </c>
      <c r="V751" t="inlineStr"/>
      <c r="W751" s="10" t="inlineStr">
        <is>
          <t>https://yakeey.com/fr-ma/achat/biens/94471</t>
        </is>
      </c>
    </row>
    <row r="752">
      <c r="A752" s="2" t="inlineStr">
        <is>
          <t>94476</t>
        </is>
      </c>
      <c r="B752" s="2" t="inlineStr">
        <is>
          <t>APARTMENT</t>
        </is>
      </c>
      <c r="C752" s="2" t="inlineStr">
        <is>
          <t>Oulfa</t>
        </is>
      </c>
      <c r="D752" s="2" t="inlineStr">
        <is>
          <t>Casablanca</t>
        </is>
      </c>
      <c r="E752" s="3" t="n">
        <v>769000</v>
      </c>
      <c r="F752" s="4" t="n">
        <v>82</v>
      </c>
      <c r="G752" s="4" t="n"/>
      <c r="H752" s="4" t="n"/>
      <c r="I752" s="5">
        <f>IFERROR(E752/F752,"")</f>
        <v/>
      </c>
      <c r="J752" s="2" t="n">
        <v>3</v>
      </c>
      <c r="K752" s="2" t="n">
        <v>1</v>
      </c>
      <c r="L752" s="2" t="n"/>
      <c r="M752" s="2" t="n"/>
      <c r="N752" s="2" t="n"/>
      <c r="O752" s="2" t="n"/>
      <c r="P752" s="2" t="inlineStr">
        <is>
          <t>LISTED</t>
        </is>
      </c>
      <c r="Q752" s="2" t="n"/>
      <c r="R752" s="2" t="n"/>
      <c r="S752" s="2" t="n">
        <v>33.55057195401588</v>
      </c>
      <c r="T752" s="2" t="n">
        <v>-7.683766260048608</v>
      </c>
      <c r="U752" s="3" t="n">
        <v>4424</v>
      </c>
      <c r="V752" s="2" t="inlineStr"/>
      <c r="W752" s="6" t="inlineStr">
        <is>
          <t>https://yakeey.com/fr-ma/achat/biens/94476</t>
        </is>
      </c>
    </row>
    <row r="753">
      <c r="A753" t="inlineStr">
        <is>
          <t>94878</t>
        </is>
      </c>
      <c r="B753" t="inlineStr">
        <is>
          <t>APARTMENT</t>
        </is>
      </c>
      <c r="C753" t="inlineStr">
        <is>
          <t>Hay Hassani</t>
        </is>
      </c>
      <c r="D753" t="inlineStr">
        <is>
          <t>Casablanca</t>
        </is>
      </c>
      <c r="E753" s="7" t="n">
        <v>850000</v>
      </c>
      <c r="F753" s="8" t="n">
        <v>97</v>
      </c>
      <c r="G753" s="8" t="n"/>
      <c r="H753" s="8" t="n"/>
      <c r="I753" s="9">
        <f>IFERROR(E753/F753,"")</f>
        <v/>
      </c>
      <c r="J753" t="n">
        <v>3</v>
      </c>
      <c r="K753" t="n">
        <v>2</v>
      </c>
      <c r="P753" t="inlineStr">
        <is>
          <t>LISTED</t>
        </is>
      </c>
      <c r="S753" t="n">
        <v>33.56648812688459</v>
      </c>
      <c r="T753" t="n">
        <v>-7.676942305202405</v>
      </c>
      <c r="U753" s="7" t="n">
        <v>4890</v>
      </c>
      <c r="V753" t="inlineStr"/>
      <c r="W753" s="10" t="inlineStr">
        <is>
          <t>https://yakeey.com/fr-ma/achat/biens/94878</t>
        </is>
      </c>
    </row>
    <row r="754">
      <c r="A754" s="2" t="inlineStr">
        <is>
          <t>95266</t>
        </is>
      </c>
      <c r="B754" s="2" t="inlineStr">
        <is>
          <t>APARTMENT</t>
        </is>
      </c>
      <c r="C754" s="2" t="inlineStr">
        <is>
          <t>Hopitaux</t>
        </is>
      </c>
      <c r="D754" s="2" t="inlineStr">
        <is>
          <t>Casablanca</t>
        </is>
      </c>
      <c r="E754" s="3" t="n">
        <v>2686000</v>
      </c>
      <c r="F754" s="4" t="n">
        <v>171</v>
      </c>
      <c r="G754" s="4" t="n"/>
      <c r="H754" s="4" t="n"/>
      <c r="I754" s="5">
        <f>IFERROR(E754/F754,"")</f>
        <v/>
      </c>
      <c r="J754" s="2" t="n">
        <v>3</v>
      </c>
      <c r="K754" s="2" t="n">
        <v>3</v>
      </c>
      <c r="L754" s="2" t="n"/>
      <c r="M754" s="2" t="n"/>
      <c r="N754" s="2" t="n"/>
      <c r="O754" s="2" t="n"/>
      <c r="P754" s="2" t="inlineStr">
        <is>
          <t>LISTED</t>
        </is>
      </c>
      <c r="Q754" s="2" t="n"/>
      <c r="R754" s="2" t="n"/>
      <c r="S754" s="2" t="n">
        <v>33.5713732638924</v>
      </c>
      <c r="T754" s="2" t="n">
        <v>-7.623126954657664</v>
      </c>
      <c r="U754" s="3" t="n">
        <v>15452</v>
      </c>
      <c r="V754" s="2" t="inlineStr"/>
      <c r="W754" s="6" t="inlineStr">
        <is>
          <t>https://yakeey.com/fr-ma/achat/biens/95266</t>
        </is>
      </c>
    </row>
    <row r="755">
      <c r="A755" t="inlineStr">
        <is>
          <t>95319</t>
        </is>
      </c>
      <c r="B755" t="inlineStr">
        <is>
          <t>APARTMENT</t>
        </is>
      </c>
      <c r="C755" t="inlineStr">
        <is>
          <t>Gauthier</t>
        </is>
      </c>
      <c r="D755" t="inlineStr">
        <is>
          <t>Casablanca</t>
        </is>
      </c>
      <c r="E755" s="7" t="n">
        <v>3350000</v>
      </c>
      <c r="F755" s="8" t="n">
        <v>197</v>
      </c>
      <c r="G755" s="8" t="n"/>
      <c r="H755" s="8" t="n"/>
      <c r="I755" s="9">
        <f>IFERROR(E755/F755,"")</f>
        <v/>
      </c>
      <c r="J755" t="n">
        <v>3</v>
      </c>
      <c r="K755" t="n">
        <v>2</v>
      </c>
      <c r="P755" t="inlineStr">
        <is>
          <t>LISTED</t>
        </is>
      </c>
      <c r="S755" t="n">
        <v>33.58979654741924</v>
      </c>
      <c r="T755" t="n">
        <v>-7.633770285587934</v>
      </c>
      <c r="U755" s="7" t="n">
        <v>19272</v>
      </c>
      <c r="V755" t="inlineStr"/>
      <c r="W755" s="10" t="inlineStr">
        <is>
          <t>https://yakeey.com/fr-ma/achat/biens/95319</t>
        </is>
      </c>
    </row>
    <row r="756">
      <c r="A756" s="2" t="inlineStr">
        <is>
          <t>9559</t>
        </is>
      </c>
      <c r="B756" s="2" t="inlineStr">
        <is>
          <t>APARTMENT</t>
        </is>
      </c>
      <c r="C756" s="2" t="inlineStr">
        <is>
          <t>Gauthier</t>
        </is>
      </c>
      <c r="D756" s="2" t="inlineStr">
        <is>
          <t>Casablanca</t>
        </is>
      </c>
      <c r="E756" s="3" t="n">
        <v>4150000</v>
      </c>
      <c r="F756" s="4" t="n">
        <v>211</v>
      </c>
      <c r="G756" s="4" t="n"/>
      <c r="H756" s="4" t="n"/>
      <c r="I756" s="5">
        <f>IFERROR(E756/F756,"")</f>
        <v/>
      </c>
      <c r="J756" s="2" t="n">
        <v>3</v>
      </c>
      <c r="K756" s="2" t="n">
        <v>3</v>
      </c>
      <c r="L756" s="2" t="n"/>
      <c r="M756" s="2" t="n"/>
      <c r="N756" s="2" t="n"/>
      <c r="O756" s="2" t="n"/>
      <c r="P756" s="2" t="inlineStr">
        <is>
          <t>LISTED</t>
        </is>
      </c>
      <c r="Q756" s="2" t="n"/>
      <c r="R756" s="2" t="n"/>
      <c r="S756" s="2" t="n">
        <v>33.59130945684701</v>
      </c>
      <c r="T756" s="2" t="n">
        <v>-7.629195895727505</v>
      </c>
      <c r="U756" s="3" t="n">
        <v>23875</v>
      </c>
      <c r="V756" s="2" t="inlineStr"/>
      <c r="W756" s="6" t="inlineStr">
        <is>
          <t>https://yakeey.com/fr-ma/achat/biens/9559</t>
        </is>
      </c>
    </row>
    <row r="757">
      <c r="A757" t="inlineStr">
        <is>
          <t>96024</t>
        </is>
      </c>
      <c r="B757" t="inlineStr">
        <is>
          <t>APARTMENT</t>
        </is>
      </c>
      <c r="C757" t="inlineStr">
        <is>
          <t>Maarif Extension</t>
        </is>
      </c>
      <c r="D757" t="inlineStr">
        <is>
          <t>Casablanca</t>
        </is>
      </c>
      <c r="E757" s="7" t="n">
        <v>1150000</v>
      </c>
      <c r="F757" s="8" t="n">
        <v>55</v>
      </c>
      <c r="G757" s="8" t="n"/>
      <c r="H757" s="8" t="n"/>
      <c r="I757" s="9">
        <f>IFERROR(E757/F757,"")</f>
        <v/>
      </c>
      <c r="J757" t="n">
        <v>2</v>
      </c>
      <c r="K757" t="n">
        <v>1</v>
      </c>
      <c r="P757" t="inlineStr">
        <is>
          <t>LISTED</t>
        </is>
      </c>
      <c r="S757" t="n">
        <v>33.57975782667947</v>
      </c>
      <c r="T757" t="n">
        <v>-7.637472567167054</v>
      </c>
      <c r="U757" s="7" t="n">
        <v>6616</v>
      </c>
      <c r="V757" t="inlineStr"/>
      <c r="W757" s="10" t="inlineStr">
        <is>
          <t>https://yakeey.com/fr-ma/achat/biens/96024</t>
        </is>
      </c>
    </row>
    <row r="758">
      <c r="A758" s="2" t="inlineStr">
        <is>
          <t>96278</t>
        </is>
      </c>
      <c r="B758" s="2" t="inlineStr">
        <is>
          <t>APARTMENT</t>
        </is>
      </c>
      <c r="C758" s="2" t="inlineStr">
        <is>
          <t>Plateau</t>
        </is>
      </c>
      <c r="D758" s="2" t="inlineStr">
        <is>
          <t>Casablanca</t>
        </is>
      </c>
      <c r="E758" s="3" t="n">
        <v>2200000</v>
      </c>
      <c r="F758" s="4" t="n">
        <v>143</v>
      </c>
      <c r="G758" s="4" t="n"/>
      <c r="H758" s="4" t="n"/>
      <c r="I758" s="5">
        <f>IFERROR(E758/F758,"")</f>
        <v/>
      </c>
      <c r="J758" s="2" t="n">
        <v>3</v>
      </c>
      <c r="K758" s="2" t="n">
        <v>1</v>
      </c>
      <c r="L758" s="2" t="n"/>
      <c r="M758" s="2" t="n"/>
      <c r="N758" s="2" t="n"/>
      <c r="O758" s="2" t="n"/>
      <c r="P758" s="2" t="inlineStr">
        <is>
          <t>LISTED</t>
        </is>
      </c>
      <c r="Q758" s="2" t="n"/>
      <c r="R758" s="2" t="n"/>
      <c r="S758" s="2" t="n">
        <v>33.57635750993721</v>
      </c>
      <c r="T758" s="2" t="n">
        <v>-7.633975558731198</v>
      </c>
      <c r="U758" s="3" t="n">
        <v>12656</v>
      </c>
      <c r="V758" s="2" t="inlineStr"/>
      <c r="W758" s="6" t="inlineStr">
        <is>
          <t>https://yakeey.com/fr-ma/achat/biens/96278</t>
        </is>
      </c>
    </row>
    <row r="759">
      <c r="A759" t="inlineStr">
        <is>
          <t>96674</t>
        </is>
      </c>
      <c r="B759" t="inlineStr">
        <is>
          <t>APARTMENT</t>
        </is>
      </c>
      <c r="C759" t="inlineStr">
        <is>
          <t>Beausejour</t>
        </is>
      </c>
      <c r="D759" t="inlineStr">
        <is>
          <t>Casablanca</t>
        </is>
      </c>
      <c r="E759" s="7" t="n">
        <v>1880000</v>
      </c>
      <c r="F759" s="8" t="n">
        <v>132</v>
      </c>
      <c r="G759" s="8" t="n"/>
      <c r="H759" s="8" t="n"/>
      <c r="I759" s="9">
        <f>IFERROR(E759/F759,"")</f>
        <v/>
      </c>
      <c r="J759" t="n">
        <v>3</v>
      </c>
      <c r="K759" t="n">
        <v>2</v>
      </c>
      <c r="P759" t="inlineStr">
        <is>
          <t>LISTED</t>
        </is>
      </c>
      <c r="S759" t="n">
        <v>33.56734292839378</v>
      </c>
      <c r="T759" t="n">
        <v>-7.653221064420305</v>
      </c>
      <c r="U759" s="7" t="n">
        <v>10815</v>
      </c>
      <c r="V759" t="inlineStr"/>
      <c r="W759" s="10" t="inlineStr">
        <is>
          <t>https://yakeey.com/fr-ma/achat/biens/96674</t>
        </is>
      </c>
    </row>
    <row r="760">
      <c r="A760" s="2" t="inlineStr">
        <is>
          <t>96794</t>
        </is>
      </c>
      <c r="B760" s="2" t="inlineStr">
        <is>
          <t>APARTMENT</t>
        </is>
      </c>
      <c r="C760" s="2" t="inlineStr">
        <is>
          <t>Sidi Moumen</t>
        </is>
      </c>
      <c r="D760" s="2" t="inlineStr">
        <is>
          <t>Casablanca</t>
        </is>
      </c>
      <c r="E760" s="3" t="n">
        <v>690000</v>
      </c>
      <c r="F760" s="4" t="n">
        <v>84</v>
      </c>
      <c r="G760" s="4" t="n"/>
      <c r="H760" s="4" t="n"/>
      <c r="I760" s="5">
        <f>IFERROR(E760/F760,"")</f>
        <v/>
      </c>
      <c r="J760" s="2" t="n">
        <v>3</v>
      </c>
      <c r="K760" s="2" t="n">
        <v>1</v>
      </c>
      <c r="L760" s="2" t="n"/>
      <c r="M760" s="2" t="n"/>
      <c r="N760" s="2" t="n"/>
      <c r="O760" s="2" t="n"/>
      <c r="P760" s="2" t="inlineStr">
        <is>
          <t>LISTED</t>
        </is>
      </c>
      <c r="Q760" s="2" t="n"/>
      <c r="R760" s="2" t="n"/>
      <c r="S760" s="2" t="n">
        <v>33.57221188009364</v>
      </c>
      <c r="T760" s="2" t="n">
        <v>-7.51378375923894</v>
      </c>
      <c r="U760" s="3" t="n">
        <v>3969</v>
      </c>
      <c r="V760" s="2" t="inlineStr"/>
      <c r="W760" s="6" t="inlineStr">
        <is>
          <t>https://yakeey.com/fr-ma/achat/biens/96794</t>
        </is>
      </c>
    </row>
    <row r="761">
      <c r="A761" t="inlineStr">
        <is>
          <t>96895</t>
        </is>
      </c>
      <c r="B761" t="inlineStr">
        <is>
          <t>APARTMENT</t>
        </is>
      </c>
      <c r="C761" t="inlineStr">
        <is>
          <t>Californie</t>
        </is>
      </c>
      <c r="D761" t="inlineStr">
        <is>
          <t>Casablanca</t>
        </is>
      </c>
      <c r="E761" s="7" t="n">
        <v>2150000</v>
      </c>
      <c r="F761" s="8" t="n">
        <v>135</v>
      </c>
      <c r="G761" s="8" t="n"/>
      <c r="H761" s="8" t="n"/>
      <c r="I761" s="9">
        <f>IFERROR(E761/F761,"")</f>
        <v/>
      </c>
      <c r="J761" t="n">
        <v>3</v>
      </c>
      <c r="K761" t="n">
        <v>2</v>
      </c>
      <c r="P761" t="inlineStr">
        <is>
          <t>LISTED</t>
        </is>
      </c>
      <c r="S761" t="n">
        <v>33.54042691551042</v>
      </c>
      <c r="T761" t="n">
        <v>-7.627717569470271</v>
      </c>
      <c r="U761" s="7" t="n">
        <v>12369</v>
      </c>
      <c r="V761" t="inlineStr"/>
      <c r="W761" s="10" t="inlineStr">
        <is>
          <t>https://yakeey.com/fr-ma/achat/biens/96895</t>
        </is>
      </c>
    </row>
    <row r="762">
      <c r="A762" s="2" t="inlineStr">
        <is>
          <t>97793</t>
        </is>
      </c>
      <c r="B762" s="2" t="inlineStr">
        <is>
          <t>APARTMENT</t>
        </is>
      </c>
      <c r="C762" s="2" t="inlineStr">
        <is>
          <t>Gauthier</t>
        </is>
      </c>
      <c r="D762" s="2" t="inlineStr">
        <is>
          <t>Casablanca</t>
        </is>
      </c>
      <c r="E762" s="3" t="n">
        <v>3300000</v>
      </c>
      <c r="F762" s="4" t="n">
        <v>259</v>
      </c>
      <c r="G762" s="4" t="n"/>
      <c r="H762" s="4" t="n"/>
      <c r="I762" s="5">
        <f>IFERROR(E762/F762,"")</f>
        <v/>
      </c>
      <c r="J762" s="2" t="n">
        <v>3</v>
      </c>
      <c r="K762" s="2" t="n">
        <v>2</v>
      </c>
      <c r="L762" s="2" t="n"/>
      <c r="M762" s="2" t="n"/>
      <c r="N762" s="2" t="n"/>
      <c r="O762" s="2" t="n"/>
      <c r="P762" s="2" t="inlineStr">
        <is>
          <t>LISTED</t>
        </is>
      </c>
      <c r="Q762" s="2" t="n"/>
      <c r="R762" s="2" t="n"/>
      <c r="S762" s="2" t="n">
        <v>33.58973276597256</v>
      </c>
      <c r="T762" s="2" t="n">
        <v>-7.627849838349641</v>
      </c>
      <c r="U762" s="3" t="n">
        <v>18985</v>
      </c>
      <c r="V762" s="2" t="inlineStr"/>
      <c r="W762" s="6" t="inlineStr">
        <is>
          <t>https://yakeey.com/fr-ma/achat/biens/97793</t>
        </is>
      </c>
    </row>
    <row r="763">
      <c r="A763" t="inlineStr">
        <is>
          <t>98178</t>
        </is>
      </c>
      <c r="B763" t="inlineStr">
        <is>
          <t>APARTMENT</t>
        </is>
      </c>
      <c r="C763" t="inlineStr">
        <is>
          <t>La Gironde</t>
        </is>
      </c>
      <c r="D763" t="inlineStr">
        <is>
          <t>Casablanca</t>
        </is>
      </c>
      <c r="E763" s="7" t="n">
        <v>850000</v>
      </c>
      <c r="F763" s="8" t="n">
        <v>80</v>
      </c>
      <c r="G763" s="8" t="n"/>
      <c r="H763" s="8" t="n"/>
      <c r="I763" s="9">
        <f>IFERROR(E763/F763,"")</f>
        <v/>
      </c>
      <c r="J763" t="n">
        <v>2</v>
      </c>
      <c r="K763" t="n">
        <v>1</v>
      </c>
      <c r="P763" t="inlineStr">
        <is>
          <t>LISTED</t>
        </is>
      </c>
      <c r="S763" t="n">
        <v>33.58289598412895</v>
      </c>
      <c r="T763" t="n">
        <v>-7.598857779020627</v>
      </c>
      <c r="U763" s="7" t="n">
        <v>4890</v>
      </c>
      <c r="V763" t="inlineStr"/>
      <c r="W763" s="10" t="inlineStr">
        <is>
          <t>https://yakeey.com/fr-ma/achat/biens/98178</t>
        </is>
      </c>
    </row>
    <row r="764">
      <c r="A764" s="2" t="inlineStr">
        <is>
          <t>98225</t>
        </is>
      </c>
      <c r="B764" s="2" t="inlineStr">
        <is>
          <t>APARTMENT</t>
        </is>
      </c>
      <c r="C764" s="2" t="inlineStr">
        <is>
          <t>Ain Borja</t>
        </is>
      </c>
      <c r="D764" s="2" t="inlineStr">
        <is>
          <t>Casablanca</t>
        </is>
      </c>
      <c r="E764" s="3" t="n">
        <v>800000</v>
      </c>
      <c r="F764" s="4" t="n">
        <v>103</v>
      </c>
      <c r="G764" s="4" t="n"/>
      <c r="H764" s="4" t="n"/>
      <c r="I764" s="5">
        <f>IFERROR(E764/F764,"")</f>
        <v/>
      </c>
      <c r="J764" s="2" t="n">
        <v>3</v>
      </c>
      <c r="K764" s="2" t="n">
        <v>1</v>
      </c>
      <c r="L764" s="2" t="n"/>
      <c r="M764" s="2" t="n"/>
      <c r="N764" s="2" t="n"/>
      <c r="O764" s="2" t="n"/>
      <c r="P764" s="2" t="inlineStr">
        <is>
          <t>LISTED</t>
        </is>
      </c>
      <c r="Q764" s="2" t="n"/>
      <c r="R764" s="2" t="n"/>
      <c r="S764" s="2" t="n">
        <v>33.58278550904305</v>
      </c>
      <c r="T764" s="2" t="n">
        <v>-7.580499760715387</v>
      </c>
      <c r="U764" s="3" t="n">
        <v>4602</v>
      </c>
      <c r="V764" s="2" t="inlineStr"/>
      <c r="W764" s="6" t="inlineStr">
        <is>
          <t>https://yakeey.com/fr-ma/achat/biens/98225</t>
        </is>
      </c>
    </row>
    <row r="765">
      <c r="A765" t="inlineStr">
        <is>
          <t>995</t>
        </is>
      </c>
      <c r="B765" t="inlineStr">
        <is>
          <t>APARTMENT</t>
        </is>
      </c>
      <c r="C765" t="inlineStr">
        <is>
          <t>Sidi Maarouf</t>
        </is>
      </c>
      <c r="D765" t="inlineStr">
        <is>
          <t>Casablanca</t>
        </is>
      </c>
      <c r="E765" s="7" t="n">
        <v>1290000</v>
      </c>
      <c r="F765" s="8" t="n">
        <v>105</v>
      </c>
      <c r="G765" s="8" t="n"/>
      <c r="H765" s="8" t="n"/>
      <c r="I765" s="9">
        <f>IFERROR(E765/F765,"")</f>
        <v/>
      </c>
      <c r="J765" t="n">
        <v>3</v>
      </c>
      <c r="K765" t="n">
        <v>2</v>
      </c>
      <c r="P765" t="inlineStr">
        <is>
          <t>LISTED</t>
        </is>
      </c>
      <c r="S765" t="n">
        <v>33.51632457513077</v>
      </c>
      <c r="T765" t="n">
        <v>-7.658156549632173</v>
      </c>
      <c r="U765" s="7" t="n">
        <v>7421</v>
      </c>
      <c r="V765" t="inlineStr"/>
      <c r="W765" s="10" t="inlineStr">
        <is>
          <t>https://yakeey.com/fr-ma/achat/biens/995</t>
        </is>
      </c>
    </row>
    <row r="766">
      <c r="A766" s="2" t="inlineStr">
        <is>
          <t>99661</t>
        </is>
      </c>
      <c r="B766" s="2" t="inlineStr">
        <is>
          <t>APARTMENT</t>
        </is>
      </c>
      <c r="C766" s="2" t="inlineStr">
        <is>
          <t>Derb Omar</t>
        </is>
      </c>
      <c r="D766" s="2" t="inlineStr">
        <is>
          <t>Casablanca</t>
        </is>
      </c>
      <c r="E766" s="3" t="n">
        <v>2100000</v>
      </c>
      <c r="F766" s="4" t="n">
        <v>172</v>
      </c>
      <c r="G766" s="4" t="n"/>
      <c r="H766" s="4" t="n"/>
      <c r="I766" s="5">
        <f>IFERROR(E766/F766,"")</f>
        <v/>
      </c>
      <c r="J766" s="2" t="n">
        <v>3</v>
      </c>
      <c r="K766" s="2" t="n">
        <v>2</v>
      </c>
      <c r="L766" s="2" t="n"/>
      <c r="M766" s="2" t="n"/>
      <c r="N766" s="2" t="n"/>
      <c r="O766" s="2" t="n"/>
      <c r="P766" s="2" t="inlineStr">
        <is>
          <t>LISTED</t>
        </is>
      </c>
      <c r="Q766" s="2" t="n"/>
      <c r="R766" s="2" t="n"/>
      <c r="S766" s="2" t="n">
        <v>33.58889275333545</v>
      </c>
      <c r="T766" s="2" t="n">
        <v>-7.603918389418568</v>
      </c>
      <c r="U766" s="3" t="n">
        <v>12081</v>
      </c>
      <c r="V766" s="2" t="inlineStr"/>
      <c r="W766" s="6" t="inlineStr">
        <is>
          <t>https://yakeey.com/fr-ma/achat/biens/99661</t>
        </is>
      </c>
    </row>
    <row r="767">
      <c r="A767" t="inlineStr">
        <is>
          <t>99714</t>
        </is>
      </c>
      <c r="B767" t="inlineStr">
        <is>
          <t>APARTMENT</t>
        </is>
      </c>
      <c r="C767" t="inlineStr">
        <is>
          <t>Maarif Extension</t>
        </is>
      </c>
      <c r="D767" t="inlineStr">
        <is>
          <t>Casablanca</t>
        </is>
      </c>
      <c r="E767" s="7" t="n">
        <v>1780000</v>
      </c>
      <c r="F767" s="8" t="n">
        <v>129</v>
      </c>
      <c r="G767" s="8" t="n"/>
      <c r="H767" s="8" t="n"/>
      <c r="I767" s="9">
        <f>IFERROR(E767/F767,"")</f>
        <v/>
      </c>
      <c r="J767" t="n">
        <v>3</v>
      </c>
      <c r="K767" t="n">
        <v>2</v>
      </c>
      <c r="P767" t="inlineStr">
        <is>
          <t>LISTED</t>
        </is>
      </c>
      <c r="S767" t="n">
        <v>33.57882993495737</v>
      </c>
      <c r="T767" t="n">
        <v>-7.644904029197206</v>
      </c>
      <c r="U767" s="7" t="n">
        <v>10240</v>
      </c>
      <c r="V767" t="inlineStr"/>
      <c r="W767" s="10" t="inlineStr">
        <is>
          <t>https://yakeey.com/fr-ma/achat/biens/99714</t>
        </is>
      </c>
    </row>
    <row r="768">
      <c r="A768" s="2" t="inlineStr">
        <is>
          <t>102177</t>
        </is>
      </c>
      <c r="B768" s="2" t="inlineStr">
        <is>
          <t>COMMERCIAL_BUILDING</t>
        </is>
      </c>
      <c r="C768" s="2" t="inlineStr">
        <is>
          <t>Sidi Bernoussi</t>
        </is>
      </c>
      <c r="D768" s="2" t="inlineStr">
        <is>
          <t>Casablanca</t>
        </is>
      </c>
      <c r="E768" s="3" t="n">
        <v>13275000</v>
      </c>
      <c r="F768" s="4" t="n">
        <v>590</v>
      </c>
      <c r="G768" s="4" t="n"/>
      <c r="H768" s="4" t="n"/>
      <c r="I768" s="5">
        <f>IFERROR(E768/F768,"")</f>
        <v/>
      </c>
      <c r="J768" s="2" t="n"/>
      <c r="K768" s="2" t="n"/>
      <c r="L768" s="2" t="n"/>
      <c r="M768" s="2" t="n"/>
      <c r="N768" s="2" t="n"/>
      <c r="O768" s="2" t="n"/>
      <c r="P768" s="2" t="inlineStr">
        <is>
          <t>LISTED</t>
        </is>
      </c>
      <c r="Q768" s="2" t="n"/>
      <c r="R768" s="2" t="n"/>
      <c r="S768" s="2" t="n">
        <v>33.62018358964753</v>
      </c>
      <c r="T768" s="2" t="n">
        <v>-7.488075017230938</v>
      </c>
      <c r="U768" s="3" t="n">
        <v>76371</v>
      </c>
      <c r="V768" s="2" t="inlineStr"/>
      <c r="W768" s="6" t="inlineStr">
        <is>
          <t>https://yakeey.com/fr-ma/achat/biens/102177</t>
        </is>
      </c>
    </row>
    <row r="769">
      <c r="A769" t="inlineStr">
        <is>
          <t>104236</t>
        </is>
      </c>
      <c r="B769" t="inlineStr">
        <is>
          <t>COMMERCIAL_BUILDING</t>
        </is>
      </c>
      <c r="C769" t="inlineStr">
        <is>
          <t>Belvedere (Roches Noires)</t>
        </is>
      </c>
      <c r="D769" t="inlineStr">
        <is>
          <t>Casablanca</t>
        </is>
      </c>
      <c r="E769" s="7" t="n">
        <v>2900000</v>
      </c>
      <c r="F769" s="8" t="n">
        <v>143</v>
      </c>
      <c r="G769" s="8" t="n"/>
      <c r="H769" s="8" t="n"/>
      <c r="I769" s="9">
        <f>IFERROR(E769/F769,"")</f>
        <v/>
      </c>
      <c r="P769" t="inlineStr">
        <is>
          <t>LISTED</t>
        </is>
      </c>
      <c r="S769" t="n">
        <v>33.59397676438503</v>
      </c>
      <c r="T769" t="n">
        <v>-7.587918035467643</v>
      </c>
      <c r="U769" s="7" t="n">
        <v>16683</v>
      </c>
      <c r="V769" t="inlineStr"/>
      <c r="W769" s="10" t="inlineStr">
        <is>
          <t>https://yakeey.com/fr-ma/achat/biens/104236</t>
        </is>
      </c>
    </row>
    <row r="770">
      <c r="A770" s="2" t="inlineStr">
        <is>
          <t>108529</t>
        </is>
      </c>
      <c r="B770" s="2" t="inlineStr">
        <is>
          <t>COMMERCIAL_BUILDING</t>
        </is>
      </c>
      <c r="C770" s="2" t="inlineStr">
        <is>
          <t>Les Princesses</t>
        </is>
      </c>
      <c r="D770" s="2" t="inlineStr">
        <is>
          <t>Casablanca</t>
        </is>
      </c>
      <c r="E770" s="3" t="n">
        <v>2570000</v>
      </c>
      <c r="F770" s="4" t="n">
        <v>106</v>
      </c>
      <c r="G770" s="4" t="n"/>
      <c r="H770" s="4" t="n"/>
      <c r="I770" s="5">
        <f>IFERROR(E770/F770,"")</f>
        <v/>
      </c>
      <c r="J770" s="2" t="n"/>
      <c r="K770" s="2" t="n"/>
      <c r="L770" s="2" t="n"/>
      <c r="M770" s="2" t="n"/>
      <c r="N770" s="2" t="n"/>
      <c r="O770" s="2" t="n"/>
      <c r="P770" s="2" t="inlineStr">
        <is>
          <t>LISTED</t>
        </is>
      </c>
      <c r="Q770" s="2" t="n"/>
      <c r="R770" s="2" t="n"/>
      <c r="S770" s="2" t="n">
        <v>33.5763050650362</v>
      </c>
      <c r="T770" s="2" t="n">
        <v>-7.64878459365936</v>
      </c>
      <c r="U770" s="3" t="n">
        <v>14785</v>
      </c>
      <c r="V770" s="2" t="inlineStr"/>
      <c r="W770" s="6" t="inlineStr">
        <is>
          <t>https://yakeey.com/fr-ma/achat/biens/108529</t>
        </is>
      </c>
    </row>
    <row r="771">
      <c r="A771" t="inlineStr">
        <is>
          <t>117378</t>
        </is>
      </c>
      <c r="B771" t="inlineStr">
        <is>
          <t>COMMERCIAL_BUILDING</t>
        </is>
      </c>
      <c r="C771" t="inlineStr">
        <is>
          <t>Maarif Extension</t>
        </is>
      </c>
      <c r="D771" t="inlineStr">
        <is>
          <t>Casablanca</t>
        </is>
      </c>
      <c r="E771" s="7" t="n">
        <v>3300000</v>
      </c>
      <c r="F771" s="8" t="n">
        <v>192</v>
      </c>
      <c r="G771" s="8" t="n"/>
      <c r="H771" s="8" t="n"/>
      <c r="I771" s="9">
        <f>IFERROR(E771/F771,"")</f>
        <v/>
      </c>
      <c r="P771" t="inlineStr">
        <is>
          <t>LISTED</t>
        </is>
      </c>
      <c r="S771" t="n">
        <v>33.57655291381967</v>
      </c>
      <c r="T771" t="n">
        <v>-7.634171645159551</v>
      </c>
      <c r="U771" s="7" t="n">
        <v>18985</v>
      </c>
      <c r="V771" t="inlineStr"/>
      <c r="W771" s="10" t="inlineStr">
        <is>
          <t>https://yakeey.com/fr-ma/achat/biens/117378</t>
        </is>
      </c>
    </row>
    <row r="772">
      <c r="A772" s="2" t="inlineStr">
        <is>
          <t>117569</t>
        </is>
      </c>
      <c r="B772" s="2" t="inlineStr">
        <is>
          <t>COMMERCIAL_BUILDING</t>
        </is>
      </c>
      <c r="C772" s="2" t="inlineStr">
        <is>
          <t>Maarif Extension</t>
        </is>
      </c>
      <c r="D772" s="2" t="inlineStr">
        <is>
          <t>Casablanca</t>
        </is>
      </c>
      <c r="E772" s="3" t="n">
        <v>3700000</v>
      </c>
      <c r="F772" s="4" t="n">
        <v>229</v>
      </c>
      <c r="G772" s="4" t="n"/>
      <c r="H772" s="4" t="n"/>
      <c r="I772" s="5">
        <f>IFERROR(E772/F772,"")</f>
        <v/>
      </c>
      <c r="J772" s="2" t="n"/>
      <c r="K772" s="2" t="n"/>
      <c r="L772" s="2" t="n"/>
      <c r="M772" s="2" t="n"/>
      <c r="N772" s="2" t="n"/>
      <c r="O772" s="2" t="n"/>
      <c r="P772" s="2" t="inlineStr">
        <is>
          <t>LISTED</t>
        </is>
      </c>
      <c r="Q772" s="2" t="n"/>
      <c r="R772" s="2" t="n"/>
      <c r="S772" s="2" t="n">
        <v>33.57601362358338</v>
      </c>
      <c r="T772" s="2" t="n">
        <v>-7.635687171084279</v>
      </c>
      <c r="U772" s="3" t="n">
        <v>21286</v>
      </c>
      <c r="V772" s="2" t="inlineStr"/>
      <c r="W772" s="6" t="inlineStr">
        <is>
          <t>https://yakeey.com/fr-ma/achat/biens/117569</t>
        </is>
      </c>
    </row>
    <row r="773">
      <c r="A773" t="inlineStr">
        <is>
          <t>117595</t>
        </is>
      </c>
      <c r="B773" t="inlineStr">
        <is>
          <t>COMMERCIAL_BUILDING</t>
        </is>
      </c>
      <c r="C773" t="inlineStr">
        <is>
          <t>Maarif Extension</t>
        </is>
      </c>
      <c r="D773" t="inlineStr">
        <is>
          <t>Casablanca</t>
        </is>
      </c>
      <c r="E773" s="7" t="n">
        <v>3300000</v>
      </c>
      <c r="F773" s="8" t="n">
        <v>184</v>
      </c>
      <c r="G773" s="8" t="n"/>
      <c r="H773" s="8" t="n"/>
      <c r="I773" s="9">
        <f>IFERROR(E773/F773,"")</f>
        <v/>
      </c>
      <c r="P773" t="inlineStr">
        <is>
          <t>LISTED</t>
        </is>
      </c>
      <c r="S773" t="n">
        <v>33.57607273174805</v>
      </c>
      <c r="T773" t="n">
        <v>-7.63388746837738</v>
      </c>
      <c r="U773" s="7" t="n">
        <v>18985</v>
      </c>
      <c r="V773" t="inlineStr"/>
      <c r="W773" s="10" t="inlineStr">
        <is>
          <t>https://yakeey.com/fr-ma/achat/biens/117595</t>
        </is>
      </c>
    </row>
    <row r="774">
      <c r="A774" s="2" t="inlineStr">
        <is>
          <t>118074</t>
        </is>
      </c>
      <c r="B774" s="2" t="inlineStr">
        <is>
          <t>COMMERCIAL_BUILDING</t>
        </is>
      </c>
      <c r="C774" s="2" t="inlineStr">
        <is>
          <t>Hopitaux</t>
        </is>
      </c>
      <c r="D774" s="2" t="inlineStr">
        <is>
          <t>Casablanca</t>
        </is>
      </c>
      <c r="E774" s="3" t="n">
        <v>250000</v>
      </c>
      <c r="F774" s="4" t="n">
        <v>37</v>
      </c>
      <c r="G774" s="4" t="n"/>
      <c r="H774" s="4" t="n"/>
      <c r="I774" s="5">
        <f>IFERROR(E774/F774,"")</f>
        <v/>
      </c>
      <c r="J774" s="2" t="n"/>
      <c r="K774" s="2" t="n"/>
      <c r="L774" s="2" t="n"/>
      <c r="M774" s="2" t="n"/>
      <c r="N774" s="2" t="n"/>
      <c r="O774" s="2" t="n"/>
      <c r="P774" s="2" t="inlineStr">
        <is>
          <t>LISTED</t>
        </is>
      </c>
      <c r="Q774" s="2" t="n"/>
      <c r="R774" s="2" t="n"/>
      <c r="S774" s="2" t="n">
        <v>33.56926123879256</v>
      </c>
      <c r="T774" s="2" t="n">
        <v>-7.62098243800259</v>
      </c>
      <c r="U774" s="3" t="n">
        <v>1438</v>
      </c>
      <c r="V774" s="2" t="inlineStr"/>
      <c r="W774" s="6" t="inlineStr">
        <is>
          <t>https://yakeey.com/fr-ma/achat/biens/118074</t>
        </is>
      </c>
    </row>
    <row r="775">
      <c r="A775" t="inlineStr">
        <is>
          <t>118210</t>
        </is>
      </c>
      <c r="B775" t="inlineStr">
        <is>
          <t>COMMERCIAL_BUILDING</t>
        </is>
      </c>
      <c r="C775" t="inlineStr">
        <is>
          <t>Gauthier</t>
        </is>
      </c>
      <c r="D775" t="inlineStr">
        <is>
          <t>Casablanca</t>
        </is>
      </c>
      <c r="E775" s="7" t="n">
        <v>2000000</v>
      </c>
      <c r="F775" s="8" t="n">
        <v>66</v>
      </c>
      <c r="G775" s="8" t="n"/>
      <c r="H775" s="8" t="n"/>
      <c r="I775" s="9">
        <f>IFERROR(E775/F775,"")</f>
        <v/>
      </c>
      <c r="P775" t="inlineStr">
        <is>
          <t>LISTED</t>
        </is>
      </c>
      <c r="S775" t="n">
        <v>33.59435430752564</v>
      </c>
      <c r="T775" t="n">
        <v>-7.632220930824175</v>
      </c>
      <c r="U775" s="7" t="n">
        <v>11506</v>
      </c>
      <c r="V775" t="inlineStr"/>
      <c r="W775" s="10" t="inlineStr">
        <is>
          <t>https://yakeey.com/fr-ma/achat/biens/118210</t>
        </is>
      </c>
    </row>
    <row r="776">
      <c r="A776" s="2" t="inlineStr">
        <is>
          <t>118380</t>
        </is>
      </c>
      <c r="B776" s="2" t="inlineStr">
        <is>
          <t>COMMERCIAL_BUILDING</t>
        </is>
      </c>
      <c r="C776" s="2" t="inlineStr">
        <is>
          <t>Gauthier</t>
        </is>
      </c>
      <c r="D776" s="2" t="inlineStr">
        <is>
          <t>Casablanca</t>
        </is>
      </c>
      <c r="E776" s="3" t="n">
        <v>2780313</v>
      </c>
      <c r="F776" s="4" t="n">
        <v>113</v>
      </c>
      <c r="G776" s="4" t="n"/>
      <c r="H776" s="4" t="n"/>
      <c r="I776" s="5">
        <f>IFERROR(E776/F776,"")</f>
        <v/>
      </c>
      <c r="J776" s="2" t="n"/>
      <c r="K776" s="2" t="n"/>
      <c r="L776" s="2" t="n"/>
      <c r="M776" s="2" t="n"/>
      <c r="N776" s="2" t="n"/>
      <c r="O776" s="2" t="n"/>
      <c r="P776" s="2" t="inlineStr">
        <is>
          <t>LISTED</t>
        </is>
      </c>
      <c r="Q776" s="2" t="n"/>
      <c r="R776" s="2" t="n"/>
      <c r="S776" s="2" t="n">
        <v>33.59028107292291</v>
      </c>
      <c r="T776" s="2" t="n">
        <v>-7.630192902450922</v>
      </c>
      <c r="U776" s="3" t="n">
        <v>15995</v>
      </c>
      <c r="V776" s="2" t="inlineStr"/>
      <c r="W776" s="6" t="inlineStr">
        <is>
          <t>https://yakeey.com/fr-ma/achat/biens/118380</t>
        </is>
      </c>
    </row>
    <row r="777">
      <c r="A777" t="inlineStr">
        <is>
          <t>119216</t>
        </is>
      </c>
      <c r="B777" t="inlineStr">
        <is>
          <t>COMMERCIAL_BUILDING</t>
        </is>
      </c>
      <c r="C777" t="inlineStr">
        <is>
          <t>Mandarouna</t>
        </is>
      </c>
      <c r="D777" t="inlineStr">
        <is>
          <t>Casablanca</t>
        </is>
      </c>
      <c r="E777" s="7" t="n">
        <v>5000000</v>
      </c>
      <c r="F777" s="8" t="n">
        <v>150</v>
      </c>
      <c r="G777" s="8" t="n"/>
      <c r="H777" s="8" t="n"/>
      <c r="I777" s="9">
        <f>IFERROR(E777/F777,"")</f>
        <v/>
      </c>
      <c r="P777" t="inlineStr">
        <is>
          <t>LISTED</t>
        </is>
      </c>
      <c r="S777" t="n">
        <v>33.532135192765</v>
      </c>
      <c r="T777" t="n">
        <v>-7.616111541505375</v>
      </c>
      <c r="U777" s="7" t="n">
        <v>28765</v>
      </c>
      <c r="V777" t="inlineStr"/>
      <c r="W777" s="10" t="inlineStr">
        <is>
          <t>https://yakeey.com/fr-ma/achat/biens/119216</t>
        </is>
      </c>
    </row>
    <row r="778">
      <c r="A778" s="2" t="inlineStr">
        <is>
          <t>121947</t>
        </is>
      </c>
      <c r="B778" s="2" t="inlineStr">
        <is>
          <t>COMMERCIAL_BUILDING</t>
        </is>
      </c>
      <c r="C778" s="2" t="inlineStr">
        <is>
          <t>Sidi Maarouf</t>
        </is>
      </c>
      <c r="D778" s="2" t="inlineStr">
        <is>
          <t>Casablanca</t>
        </is>
      </c>
      <c r="E778" s="3" t="n">
        <v>570000</v>
      </c>
      <c r="F778" s="4" t="n">
        <v>58</v>
      </c>
      <c r="G778" s="4" t="n"/>
      <c r="H778" s="4" t="n"/>
      <c r="I778" s="5">
        <f>IFERROR(E778/F778,"")</f>
        <v/>
      </c>
      <c r="J778" s="2" t="n"/>
      <c r="K778" s="2" t="n"/>
      <c r="L778" s="2" t="n"/>
      <c r="M778" s="2" t="n"/>
      <c r="N778" s="2" t="n"/>
      <c r="O778" s="2" t="n"/>
      <c r="P778" s="2" t="inlineStr">
        <is>
          <t>LISTED</t>
        </is>
      </c>
      <c r="Q778" s="2" t="n"/>
      <c r="R778" s="2" t="n"/>
      <c r="S778" s="2" t="n">
        <v>33.57187059049527</v>
      </c>
      <c r="T778" s="2" t="n">
        <v>-7.617165653142654</v>
      </c>
      <c r="U778" s="3" t="n">
        <v>3279</v>
      </c>
      <c r="V778" s="2" t="inlineStr"/>
      <c r="W778" s="6" t="inlineStr">
        <is>
          <t>https://yakeey.com/fr-ma/achat/biens/121947</t>
        </is>
      </c>
    </row>
    <row r="779">
      <c r="A779" t="inlineStr">
        <is>
          <t>122124</t>
        </is>
      </c>
      <c r="B779" t="inlineStr">
        <is>
          <t>COMMERCIAL_BUILDING</t>
        </is>
      </c>
      <c r="C779" t="inlineStr">
        <is>
          <t>Palmier (Maarif)</t>
        </is>
      </c>
      <c r="D779" t="inlineStr">
        <is>
          <t>Casablanca</t>
        </is>
      </c>
      <c r="E779" s="7" t="n">
        <v>5800000</v>
      </c>
      <c r="F779" s="8" t="n">
        <v>133</v>
      </c>
      <c r="G779" s="8" t="n"/>
      <c r="H779" s="8" t="n"/>
      <c r="I779" s="9">
        <f>IFERROR(E779/F779,"")</f>
        <v/>
      </c>
      <c r="P779" t="inlineStr">
        <is>
          <t>LISTED</t>
        </is>
      </c>
      <c r="S779" t="n">
        <v>33.57833707290634</v>
      </c>
      <c r="T779" t="n">
        <v>-7.627103509848672</v>
      </c>
      <c r="U779" s="7" t="n">
        <v>33367</v>
      </c>
      <c r="V779" t="inlineStr"/>
      <c r="W779" s="10" t="inlineStr">
        <is>
          <t>https://yakeey.com/fr-ma/achat/biens/122124</t>
        </is>
      </c>
    </row>
    <row r="780">
      <c r="A780" s="2" t="inlineStr">
        <is>
          <t>12236</t>
        </is>
      </c>
      <c r="B780" s="2" t="inlineStr">
        <is>
          <t>COMMERCIAL_BUILDING</t>
        </is>
      </c>
      <c r="C780" s="2" t="inlineStr">
        <is>
          <t>Aviateur</t>
        </is>
      </c>
      <c r="D780" s="2" t="inlineStr">
        <is>
          <t>Casablanca</t>
        </is>
      </c>
      <c r="E780" s="3" t="n">
        <v>13000000</v>
      </c>
      <c r="F780" s="4" t="n">
        <v>485</v>
      </c>
      <c r="G780" s="4" t="n"/>
      <c r="H780" s="4" t="n"/>
      <c r="I780" s="5">
        <f>IFERROR(E780/F780,"")</f>
        <v/>
      </c>
      <c r="J780" s="2" t="n"/>
      <c r="K780" s="2" t="n"/>
      <c r="L780" s="2" t="n"/>
      <c r="M780" s="2" t="n"/>
      <c r="N780" s="2" t="n"/>
      <c r="O780" s="2" t="n"/>
      <c r="P780" s="2" t="inlineStr">
        <is>
          <t>LISTED</t>
        </is>
      </c>
      <c r="Q780" s="2" t="n"/>
      <c r="R780" s="2" t="n"/>
      <c r="S780" s="2" t="n">
        <v>33.5947354953436</v>
      </c>
      <c r="T780" s="2" t="n">
        <v>-7.618492689791207</v>
      </c>
      <c r="U780" s="3" t="n">
        <v>74789</v>
      </c>
      <c r="V780" s="2" t="inlineStr"/>
      <c r="W780" s="6" t="inlineStr">
        <is>
          <t>https://yakeey.com/fr-ma/achat/biens/12236</t>
        </is>
      </c>
    </row>
    <row r="781">
      <c r="A781" t="inlineStr">
        <is>
          <t>122849</t>
        </is>
      </c>
      <c r="B781" t="inlineStr">
        <is>
          <t>COMMERCIAL_BUILDING</t>
        </is>
      </c>
      <c r="C781" t="inlineStr">
        <is>
          <t>Mandarouna</t>
        </is>
      </c>
      <c r="D781" t="inlineStr">
        <is>
          <t>Casablanca</t>
        </is>
      </c>
      <c r="E781" s="7" t="n">
        <v>2900000</v>
      </c>
      <c r="F781" s="8" t="n">
        <v>83</v>
      </c>
      <c r="G781" s="8" t="n"/>
      <c r="H781" s="8" t="n"/>
      <c r="I781" s="9">
        <f>IFERROR(E781/F781,"")</f>
        <v/>
      </c>
      <c r="P781" t="inlineStr">
        <is>
          <t>LISTED</t>
        </is>
      </c>
      <c r="S781" t="n">
        <v>33.53255893681273</v>
      </c>
      <c r="T781" t="n">
        <v>-7.612956549127839</v>
      </c>
      <c r="U781" s="7" t="n">
        <v>16683</v>
      </c>
      <c r="V781" t="inlineStr"/>
      <c r="W781" s="10" t="inlineStr">
        <is>
          <t>https://yakeey.com/fr-ma/achat/biens/122849</t>
        </is>
      </c>
    </row>
    <row r="782">
      <c r="A782" s="2" t="inlineStr">
        <is>
          <t>12304</t>
        </is>
      </c>
      <c r="B782" s="2" t="inlineStr">
        <is>
          <t>COMMERCIAL_BUILDING</t>
        </is>
      </c>
      <c r="C782" s="2" t="inlineStr">
        <is>
          <t>Gauthier</t>
        </is>
      </c>
      <c r="D782" s="2" t="inlineStr">
        <is>
          <t>Casablanca</t>
        </is>
      </c>
      <c r="E782" s="3" t="n">
        <v>4699999</v>
      </c>
      <c r="F782" s="4" t="n">
        <v>174</v>
      </c>
      <c r="G782" s="4" t="n"/>
      <c r="H782" s="4" t="n"/>
      <c r="I782" s="5">
        <f>IFERROR(E782/F782,"")</f>
        <v/>
      </c>
      <c r="J782" s="2" t="n"/>
      <c r="K782" s="2" t="n"/>
      <c r="L782" s="2" t="n"/>
      <c r="M782" s="2" t="n"/>
      <c r="N782" s="2" t="n"/>
      <c r="O782" s="2" t="n"/>
      <c r="P782" s="2" t="inlineStr">
        <is>
          <t>LISTED</t>
        </is>
      </c>
      <c r="Q782" s="2" t="n"/>
      <c r="R782" s="2" t="n"/>
      <c r="S782" s="2" t="n">
        <v>33.58916019820017</v>
      </c>
      <c r="T782" s="2" t="n">
        <v>-7.632426964398474</v>
      </c>
      <c r="U782" s="3" t="n">
        <v>27039</v>
      </c>
      <c r="V782" s="2" t="inlineStr"/>
      <c r="W782" s="6" t="inlineStr">
        <is>
          <t>https://yakeey.com/fr-ma/achat/biens/12304</t>
        </is>
      </c>
    </row>
    <row r="783">
      <c r="A783" t="inlineStr">
        <is>
          <t>12318</t>
        </is>
      </c>
      <c r="B783" t="inlineStr">
        <is>
          <t>COMMERCIAL_BUILDING</t>
        </is>
      </c>
      <c r="C783" t="inlineStr">
        <is>
          <t>Hopitaux</t>
        </is>
      </c>
      <c r="D783" t="inlineStr">
        <is>
          <t>Casablanca</t>
        </is>
      </c>
      <c r="E783" s="7" t="n">
        <v>6500000</v>
      </c>
      <c r="F783" s="8" t="n">
        <v>527</v>
      </c>
      <c r="G783" s="8" t="n"/>
      <c r="H783" s="8" t="n"/>
      <c r="I783" s="9">
        <f>IFERROR(E783/F783,"")</f>
        <v/>
      </c>
      <c r="P783" t="inlineStr">
        <is>
          <t>LISTED</t>
        </is>
      </c>
      <c r="S783" t="n">
        <v>33.57378713813679</v>
      </c>
      <c r="T783" t="n">
        <v>-7.61736310477727</v>
      </c>
      <c r="U783" s="7" t="n">
        <v>37394</v>
      </c>
      <c r="V783" t="inlineStr"/>
      <c r="W783" s="10" t="inlineStr">
        <is>
          <t>https://yakeey.com/fr-ma/achat/biens/12318</t>
        </is>
      </c>
    </row>
    <row r="784">
      <c r="A784" s="2" t="inlineStr">
        <is>
          <t>125792</t>
        </is>
      </c>
      <c r="B784" s="2" t="inlineStr">
        <is>
          <t>COMMERCIAL_BUILDING</t>
        </is>
      </c>
      <c r="C784" s="2" t="inlineStr">
        <is>
          <t>Sidi Bernoussi</t>
        </is>
      </c>
      <c r="D784" s="2" t="inlineStr">
        <is>
          <t>Casablanca</t>
        </is>
      </c>
      <c r="E784" s="3" t="n">
        <v>1400000</v>
      </c>
      <c r="F784" s="4" t="n">
        <v>80</v>
      </c>
      <c r="G784" s="4" t="n"/>
      <c r="H784" s="4" t="n"/>
      <c r="I784" s="5">
        <f>IFERROR(E784/F784,"")</f>
        <v/>
      </c>
      <c r="J784" s="2" t="n"/>
      <c r="K784" s="2" t="n"/>
      <c r="L784" s="2" t="n"/>
      <c r="M784" s="2" t="n"/>
      <c r="N784" s="2" t="n"/>
      <c r="O784" s="2" t="n"/>
      <c r="P784" s="2" t="inlineStr">
        <is>
          <t>LISTED</t>
        </is>
      </c>
      <c r="Q784" s="2" t="n"/>
      <c r="R784" s="2" t="n"/>
      <c r="S784" s="2" t="n">
        <v>33.6042854217237</v>
      </c>
      <c r="T784" s="2" t="n">
        <v>-7.486874938224069</v>
      </c>
      <c r="U784" s="3" t="n">
        <v>8054</v>
      </c>
      <c r="V784" s="2" t="inlineStr"/>
      <c r="W784" s="6" t="inlineStr">
        <is>
          <t>https://yakeey.com/fr-ma/achat/biens/125792</t>
        </is>
      </c>
    </row>
    <row r="785">
      <c r="A785" t="inlineStr">
        <is>
          <t>125967</t>
        </is>
      </c>
      <c r="B785" t="inlineStr">
        <is>
          <t>COMMERCIAL_BUILDING</t>
        </is>
      </c>
      <c r="C785" t="inlineStr">
        <is>
          <t>Les Princesses</t>
        </is>
      </c>
      <c r="D785" t="inlineStr">
        <is>
          <t>Casablanca</t>
        </is>
      </c>
      <c r="E785" s="7" t="n">
        <v>2500000</v>
      </c>
      <c r="F785" s="8" t="n">
        <v>183</v>
      </c>
      <c r="G785" s="8" t="n"/>
      <c r="H785" s="8" t="n"/>
      <c r="I785" s="9">
        <f>IFERROR(E785/F785,"")</f>
        <v/>
      </c>
      <c r="P785" t="inlineStr">
        <is>
          <t>LISTED</t>
        </is>
      </c>
      <c r="S785" t="n">
        <v>33.58212471660979</v>
      </c>
      <c r="T785" t="n">
        <v>-7.651473414751478</v>
      </c>
      <c r="U785" s="7" t="n">
        <v>14382</v>
      </c>
      <c r="V785" t="inlineStr"/>
      <c r="W785" s="10" t="inlineStr">
        <is>
          <t>https://yakeey.com/fr-ma/achat/biens/125967</t>
        </is>
      </c>
    </row>
    <row r="786">
      <c r="A786" s="2" t="inlineStr">
        <is>
          <t>126278</t>
        </is>
      </c>
      <c r="B786" s="2" t="inlineStr">
        <is>
          <t>COMMERCIAL_BUILDING</t>
        </is>
      </c>
      <c r="C786" s="2" t="inlineStr">
        <is>
          <t>Lusitania</t>
        </is>
      </c>
      <c r="D786" s="2" t="inlineStr">
        <is>
          <t>Casablanca</t>
        </is>
      </c>
      <c r="E786" s="3" t="n">
        <v>5000000</v>
      </c>
      <c r="F786" s="4" t="n">
        <v>123</v>
      </c>
      <c r="G786" s="4" t="n"/>
      <c r="H786" s="4" t="n"/>
      <c r="I786" s="5">
        <f>IFERROR(E786/F786,"")</f>
        <v/>
      </c>
      <c r="J786" s="2" t="n"/>
      <c r="K786" s="2" t="n"/>
      <c r="L786" s="2" t="n"/>
      <c r="M786" s="2" t="n"/>
      <c r="N786" s="2" t="n"/>
      <c r="O786" s="2" t="n"/>
      <c r="P786" s="2" t="inlineStr">
        <is>
          <t>LISTED</t>
        </is>
      </c>
      <c r="Q786" s="2" t="n"/>
      <c r="R786" s="2" t="n"/>
      <c r="S786" s="2" t="n">
        <v>33.59271289258512</v>
      </c>
      <c r="T786" s="2" t="n">
        <v>-7.627973191348841</v>
      </c>
      <c r="U786" s="3" t="n">
        <v>28765</v>
      </c>
      <c r="V786" s="2" t="inlineStr"/>
      <c r="W786" s="6" t="inlineStr">
        <is>
          <t>https://yakeey.com/fr-ma/achat/biens/126278</t>
        </is>
      </c>
    </row>
    <row r="787">
      <c r="A787" t="inlineStr">
        <is>
          <t>126652</t>
        </is>
      </c>
      <c r="B787" t="inlineStr">
        <is>
          <t>COMMERCIAL_BUILDING</t>
        </is>
      </c>
      <c r="C787" t="inlineStr">
        <is>
          <t>Plateau</t>
        </is>
      </c>
      <c r="D787" t="inlineStr">
        <is>
          <t>Casablanca</t>
        </is>
      </c>
      <c r="E787" s="7" t="n">
        <v>1800000</v>
      </c>
      <c r="F787" s="8" t="n">
        <v>89</v>
      </c>
      <c r="G787" s="8" t="n"/>
      <c r="H787" s="8" t="n"/>
      <c r="I787" s="9">
        <f>IFERROR(E787/F787,"")</f>
        <v/>
      </c>
      <c r="P787" t="inlineStr">
        <is>
          <t>LISTED</t>
        </is>
      </c>
      <c r="S787" t="n">
        <v>33.57597969167838</v>
      </c>
      <c r="T787" t="n">
        <v>-7.635013695871418</v>
      </c>
      <c r="U787" s="7" t="n">
        <v>10355</v>
      </c>
      <c r="V787" t="inlineStr"/>
      <c r="W787" s="10" t="inlineStr">
        <is>
          <t>https://yakeey.com/fr-ma/achat/biens/126652</t>
        </is>
      </c>
    </row>
    <row r="788">
      <c r="A788" s="2" t="inlineStr">
        <is>
          <t>126735</t>
        </is>
      </c>
      <c r="B788" s="2" t="inlineStr">
        <is>
          <t>COMMERCIAL_BUILDING</t>
        </is>
      </c>
      <c r="C788" s="2" t="inlineStr">
        <is>
          <t>Sidi Bernoussi</t>
        </is>
      </c>
      <c r="D788" s="2" t="inlineStr">
        <is>
          <t>Casablanca</t>
        </is>
      </c>
      <c r="E788" s="3" t="n">
        <v>1620000</v>
      </c>
      <c r="F788" s="4" t="n">
        <v>288</v>
      </c>
      <c r="G788" s="4" t="n"/>
      <c r="H788" s="4" t="n"/>
      <c r="I788" s="5">
        <f>IFERROR(E788/F788,"")</f>
        <v/>
      </c>
      <c r="J788" s="2" t="n"/>
      <c r="K788" s="2" t="n"/>
      <c r="L788" s="2" t="n"/>
      <c r="M788" s="2" t="n"/>
      <c r="N788" s="2" t="n"/>
      <c r="O788" s="2" t="n"/>
      <c r="P788" s="2" t="inlineStr">
        <is>
          <t>LISTED</t>
        </is>
      </c>
      <c r="Q788" s="2" t="n"/>
      <c r="R788" s="2" t="n"/>
      <c r="S788" s="2" t="n">
        <v>33.57279835270091</v>
      </c>
      <c r="T788" s="2" t="n">
        <v>-7.617267512479757</v>
      </c>
      <c r="U788" s="3" t="n">
        <v>9319</v>
      </c>
      <c r="V788" s="2" t="inlineStr"/>
      <c r="W788" s="6" t="inlineStr">
        <is>
          <t>https://yakeey.com/fr-ma/achat/biens/126735</t>
        </is>
      </c>
    </row>
    <row r="789">
      <c r="A789" t="inlineStr">
        <is>
          <t>126798</t>
        </is>
      </c>
      <c r="B789" t="inlineStr">
        <is>
          <t>COMMERCIAL_BUILDING</t>
        </is>
      </c>
      <c r="C789" t="inlineStr">
        <is>
          <t>Bourgogne (Anfa)</t>
        </is>
      </c>
      <c r="D789" t="inlineStr">
        <is>
          <t>Casablanca</t>
        </is>
      </c>
      <c r="E789" s="7" t="n">
        <v>3175000</v>
      </c>
      <c r="F789" s="8" t="n">
        <v>150</v>
      </c>
      <c r="G789" s="8" t="n"/>
      <c r="H789" s="8" t="n"/>
      <c r="I789" s="9">
        <f>IFERROR(E789/F789,"")</f>
        <v/>
      </c>
      <c r="P789" t="inlineStr">
        <is>
          <t>LISTED</t>
        </is>
      </c>
      <c r="S789" t="n">
        <v>33.60233511407635</v>
      </c>
      <c r="T789" t="n">
        <v>-7.646166329428302</v>
      </c>
      <c r="U789" s="7" t="n">
        <v>18265</v>
      </c>
      <c r="V789" t="inlineStr"/>
      <c r="W789" s="10" t="inlineStr">
        <is>
          <t>https://yakeey.com/fr-ma/achat/biens/126798</t>
        </is>
      </c>
    </row>
    <row r="790">
      <c r="A790" s="2" t="inlineStr">
        <is>
          <t>126804</t>
        </is>
      </c>
      <c r="B790" s="2" t="inlineStr">
        <is>
          <t>COMMERCIAL_BUILDING</t>
        </is>
      </c>
      <c r="C790" s="2" t="inlineStr">
        <is>
          <t>Beausejour</t>
        </is>
      </c>
      <c r="D790" s="2" t="inlineStr">
        <is>
          <t>Casablanca</t>
        </is>
      </c>
      <c r="E790" s="3" t="n">
        <v>5100000</v>
      </c>
      <c r="F790" s="4" t="n">
        <v>276</v>
      </c>
      <c r="G790" s="4" t="n"/>
      <c r="H790" s="4" t="n"/>
      <c r="I790" s="5">
        <f>IFERROR(E790/F790,"")</f>
        <v/>
      </c>
      <c r="J790" s="2" t="n"/>
      <c r="K790" s="2" t="n"/>
      <c r="L790" s="2" t="n"/>
      <c r="M790" s="2" t="n"/>
      <c r="N790" s="2" t="n"/>
      <c r="O790" s="2" t="n"/>
      <c r="P790" s="2" t="inlineStr">
        <is>
          <t>LISTED</t>
        </is>
      </c>
      <c r="Q790" s="2" t="n"/>
      <c r="R790" s="2" t="n"/>
      <c r="S790" s="2" t="n">
        <v>33.57025280757389</v>
      </c>
      <c r="T790" s="2" t="n">
        <v>-7.645430328223672</v>
      </c>
      <c r="U790" s="3" t="n">
        <v>29340</v>
      </c>
      <c r="V790" s="2" t="inlineStr"/>
      <c r="W790" s="6" t="inlineStr">
        <is>
          <t>https://yakeey.com/fr-ma/achat/biens/126804</t>
        </is>
      </c>
    </row>
    <row r="791">
      <c r="A791" t="inlineStr">
        <is>
          <t>128072</t>
        </is>
      </c>
      <c r="B791" t="inlineStr">
        <is>
          <t>COMMERCIAL_BUILDING</t>
        </is>
      </c>
      <c r="C791" t="inlineStr">
        <is>
          <t>Sidi Maarouf</t>
        </is>
      </c>
      <c r="D791" t="inlineStr">
        <is>
          <t>Casablanca</t>
        </is>
      </c>
      <c r="E791" s="7" t="n">
        <v>1000000</v>
      </c>
      <c r="F791" s="8" t="n">
        <v>61</v>
      </c>
      <c r="G791" s="8" t="n"/>
      <c r="H791" s="8" t="n"/>
      <c r="I791" s="9">
        <f>IFERROR(E791/F791,"")</f>
        <v/>
      </c>
      <c r="P791" t="inlineStr">
        <is>
          <t>LISTED</t>
        </is>
      </c>
      <c r="S791" t="n">
        <v>33.51619755802884</v>
      </c>
      <c r="T791" t="n">
        <v>-7.658949353151916</v>
      </c>
      <c r="U791" s="7" t="n">
        <v>5753</v>
      </c>
      <c r="V791" t="inlineStr"/>
      <c r="W791" s="10" t="inlineStr">
        <is>
          <t>https://yakeey.com/fr-ma/achat/biens/128072</t>
        </is>
      </c>
    </row>
    <row r="792">
      <c r="A792" s="2" t="inlineStr">
        <is>
          <t>13059</t>
        </is>
      </c>
      <c r="B792" s="2" t="inlineStr">
        <is>
          <t>COMMERCIAL_BUILDING</t>
        </is>
      </c>
      <c r="C792" s="2" t="inlineStr">
        <is>
          <t>Aviateur</t>
        </is>
      </c>
      <c r="D792" s="2" t="inlineStr">
        <is>
          <t>Casablanca</t>
        </is>
      </c>
      <c r="E792" s="3" t="n">
        <v>6800000</v>
      </c>
      <c r="F792" s="4" t="n">
        <v>443</v>
      </c>
      <c r="G792" s="4" t="n"/>
      <c r="H792" s="4" t="n"/>
      <c r="I792" s="5">
        <f>IFERROR(E792/F792,"")</f>
        <v/>
      </c>
      <c r="J792" s="2" t="n"/>
      <c r="K792" s="2" t="n"/>
      <c r="L792" s="2" t="n"/>
      <c r="M792" s="2" t="n"/>
      <c r="N792" s="2" t="n"/>
      <c r="O792" s="2" t="n"/>
      <c r="P792" s="2" t="inlineStr">
        <is>
          <t>LISTED</t>
        </is>
      </c>
      <c r="Q792" s="2" t="n"/>
      <c r="R792" s="2" t="n"/>
      <c r="S792" s="2" t="n">
        <v>33.59322039829933</v>
      </c>
      <c r="T792" s="2" t="n">
        <v>-7.617412184690028</v>
      </c>
      <c r="U792" s="3" t="n">
        <v>39120</v>
      </c>
      <c r="V792" s="2" t="inlineStr"/>
      <c r="W792" s="6" t="inlineStr">
        <is>
          <t>https://yakeey.com/fr-ma/achat/biens/13059</t>
        </is>
      </c>
    </row>
    <row r="793">
      <c r="A793" t="inlineStr">
        <is>
          <t>13250</t>
        </is>
      </c>
      <c r="B793" t="inlineStr">
        <is>
          <t>COMMERCIAL_BUILDING</t>
        </is>
      </c>
      <c r="C793" t="inlineStr">
        <is>
          <t>Bourgogne (Anfa)</t>
        </is>
      </c>
      <c r="D793" t="inlineStr">
        <is>
          <t>Casablanca</t>
        </is>
      </c>
      <c r="E793" s="7" t="n">
        <v>3000000</v>
      </c>
      <c r="F793" s="8" t="n">
        <v>200</v>
      </c>
      <c r="G793" s="8" t="n"/>
      <c r="H793" s="8" t="n"/>
      <c r="I793" s="9">
        <f>IFERROR(E793/F793,"")</f>
        <v/>
      </c>
      <c r="P793" t="inlineStr">
        <is>
          <t>LISTED</t>
        </is>
      </c>
      <c r="S793" t="n">
        <v>33.60216811731252</v>
      </c>
      <c r="T793" t="n">
        <v>-7.647571536131227</v>
      </c>
      <c r="U793" s="7" t="n">
        <v>17259</v>
      </c>
      <c r="V793" t="inlineStr"/>
      <c r="W793" s="10" t="inlineStr">
        <is>
          <t>https://yakeey.com/fr-ma/achat/biens/13250</t>
        </is>
      </c>
    </row>
    <row r="794">
      <c r="A794" s="2" t="inlineStr">
        <is>
          <t>139041</t>
        </is>
      </c>
      <c r="B794" s="2" t="inlineStr">
        <is>
          <t>COMMERCIAL_BUILDING</t>
        </is>
      </c>
      <c r="C794" s="2" t="inlineStr">
        <is>
          <t>Hopitaux</t>
        </is>
      </c>
      <c r="D794" s="2" t="inlineStr">
        <is>
          <t>Casablanca</t>
        </is>
      </c>
      <c r="E794" s="3" t="n">
        <v>1475000</v>
      </c>
      <c r="F794" s="4" t="n">
        <v>72</v>
      </c>
      <c r="G794" s="4" t="n"/>
      <c r="H794" s="4" t="n"/>
      <c r="I794" s="5">
        <f>IFERROR(E794/F794,"")</f>
        <v/>
      </c>
      <c r="J794" s="2" t="n"/>
      <c r="K794" s="2" t="n"/>
      <c r="L794" s="2" t="n"/>
      <c r="M794" s="2" t="n"/>
      <c r="N794" s="2" t="n"/>
      <c r="O794" s="2" t="n"/>
      <c r="P794" s="2" t="inlineStr">
        <is>
          <t>LISTED</t>
        </is>
      </c>
      <c r="Q794" s="2" t="n"/>
      <c r="R794" s="2" t="n"/>
      <c r="S794" s="2" t="n">
        <v>33.57039833720508</v>
      </c>
      <c r="T794" s="2" t="n">
        <v>-7.616464019664277</v>
      </c>
      <c r="U794" s="3" t="n">
        <v>8485</v>
      </c>
      <c r="V794" s="2" t="inlineStr"/>
      <c r="W794" s="6" t="inlineStr">
        <is>
          <t>https://yakeey.com/fr-ma/achat/biens/139041</t>
        </is>
      </c>
    </row>
    <row r="795">
      <c r="A795" t="inlineStr">
        <is>
          <t>139046</t>
        </is>
      </c>
      <c r="B795" t="inlineStr">
        <is>
          <t>COMMERCIAL_BUILDING</t>
        </is>
      </c>
      <c r="C795" t="inlineStr">
        <is>
          <t>Hopitaux</t>
        </is>
      </c>
      <c r="D795" t="inlineStr">
        <is>
          <t>Casablanca</t>
        </is>
      </c>
      <c r="E795" s="7" t="n">
        <v>3304000</v>
      </c>
      <c r="F795" s="8" t="n">
        <v>142</v>
      </c>
      <c r="G795" s="8" t="n"/>
      <c r="H795" s="8" t="n"/>
      <c r="I795" s="9">
        <f>IFERROR(E795/F795,"")</f>
        <v/>
      </c>
      <c r="P795" t="inlineStr">
        <is>
          <t>LISTED</t>
        </is>
      </c>
      <c r="S795" t="n">
        <v>33.5691399057222</v>
      </c>
      <c r="T795" t="n">
        <v>-7.615675381277355</v>
      </c>
      <c r="U795" s="7" t="n">
        <v>19008</v>
      </c>
      <c r="V795" t="inlineStr"/>
      <c r="W795" s="10" t="inlineStr">
        <is>
          <t>https://yakeey.com/fr-ma/achat/biens/139046</t>
        </is>
      </c>
    </row>
    <row r="796">
      <c r="A796" s="2" t="inlineStr">
        <is>
          <t>139052</t>
        </is>
      </c>
      <c r="B796" s="2" t="inlineStr">
        <is>
          <t>COMMERCIAL_BUILDING</t>
        </is>
      </c>
      <c r="C796" s="2" t="inlineStr">
        <is>
          <t>Hopitaux</t>
        </is>
      </c>
      <c r="D796" s="2" t="inlineStr">
        <is>
          <t>Casablanca</t>
        </is>
      </c>
      <c r="E796" s="3" t="n">
        <v>1526000</v>
      </c>
      <c r="F796" s="4" t="n">
        <v>67</v>
      </c>
      <c r="G796" s="4" t="n"/>
      <c r="H796" s="4" t="n"/>
      <c r="I796" s="5">
        <f>IFERROR(E796/F796,"")</f>
        <v/>
      </c>
      <c r="J796" s="2" t="n"/>
      <c r="K796" s="2" t="n"/>
      <c r="L796" s="2" t="n"/>
      <c r="M796" s="2" t="n"/>
      <c r="N796" s="2" t="n"/>
      <c r="O796" s="2" t="n"/>
      <c r="P796" s="2" t="inlineStr">
        <is>
          <t>LISTED</t>
        </is>
      </c>
      <c r="Q796" s="2" t="n"/>
      <c r="R796" s="2" t="n"/>
      <c r="S796" s="2" t="n">
        <v>33.56941426748864</v>
      </c>
      <c r="T796" s="2" t="n">
        <v>-7.618159484188405</v>
      </c>
      <c r="U796" s="3" t="n">
        <v>8779</v>
      </c>
      <c r="V796" s="2" t="inlineStr"/>
      <c r="W796" s="6" t="inlineStr">
        <is>
          <t>https://yakeey.com/fr-ma/achat/biens/139052</t>
        </is>
      </c>
    </row>
    <row r="797">
      <c r="A797" t="inlineStr">
        <is>
          <t>139058</t>
        </is>
      </c>
      <c r="B797" t="inlineStr">
        <is>
          <t>COMMERCIAL_BUILDING</t>
        </is>
      </c>
      <c r="C797" t="inlineStr">
        <is>
          <t>Hopitaux</t>
        </is>
      </c>
      <c r="D797" t="inlineStr">
        <is>
          <t>Casablanca</t>
        </is>
      </c>
      <c r="E797" s="7" t="n">
        <v>2954000</v>
      </c>
      <c r="F797" s="8" t="n">
        <v>136</v>
      </c>
      <c r="G797" s="8" t="n"/>
      <c r="H797" s="8" t="n"/>
      <c r="I797" s="9">
        <f>IFERROR(E797/F797,"")</f>
        <v/>
      </c>
      <c r="P797" t="inlineStr">
        <is>
          <t>LISTED</t>
        </is>
      </c>
      <c r="S797" t="n">
        <v>33.5694563069115</v>
      </c>
      <c r="T797" t="n">
        <v>-7.62137420432827</v>
      </c>
      <c r="U797" s="7" t="n">
        <v>16994</v>
      </c>
      <c r="V797" t="inlineStr"/>
      <c r="W797" s="10" t="inlineStr">
        <is>
          <t>https://yakeey.com/fr-ma/achat/biens/139058</t>
        </is>
      </c>
    </row>
    <row r="798">
      <c r="A798" s="2" t="inlineStr">
        <is>
          <t>139400</t>
        </is>
      </c>
      <c r="B798" s="2" t="inlineStr">
        <is>
          <t>COMMERCIAL_BUILDING</t>
        </is>
      </c>
      <c r="C798" s="2" t="inlineStr">
        <is>
          <t>Hay Mohammadi</t>
        </is>
      </c>
      <c r="D798" s="2" t="inlineStr">
        <is>
          <t>Casablanca</t>
        </is>
      </c>
      <c r="E798" s="3" t="n">
        <v>1100000</v>
      </c>
      <c r="F798" s="4" t="n">
        <v>46</v>
      </c>
      <c r="G798" s="4" t="n"/>
      <c r="H798" s="4" t="n"/>
      <c r="I798" s="5">
        <f>IFERROR(E798/F798,"")</f>
        <v/>
      </c>
      <c r="J798" s="2" t="n"/>
      <c r="K798" s="2" t="n"/>
      <c r="L798" s="2" t="n"/>
      <c r="M798" s="2" t="n"/>
      <c r="N798" s="2" t="n"/>
      <c r="O798" s="2" t="n"/>
      <c r="P798" s="2" t="inlineStr">
        <is>
          <t>LISTED</t>
        </is>
      </c>
      <c r="Q798" s="2" t="n"/>
      <c r="R798" s="2" t="n"/>
      <c r="S798" s="2" t="n">
        <v>33.58971935541585</v>
      </c>
      <c r="T798" s="2" t="n">
        <v>-7.562504538228476</v>
      </c>
      <c r="U798" s="3" t="n">
        <v>6328</v>
      </c>
      <c r="V798" s="2" t="inlineStr"/>
      <c r="W798" s="6" t="inlineStr">
        <is>
          <t>https://yakeey.com/fr-ma/achat/biens/139400</t>
        </is>
      </c>
    </row>
    <row r="799">
      <c r="A799" t="inlineStr">
        <is>
          <t>141731</t>
        </is>
      </c>
      <c r="B799" t="inlineStr">
        <is>
          <t>COMMERCIAL_BUILDING</t>
        </is>
      </c>
      <c r="C799" t="inlineStr">
        <is>
          <t>Maarif Extension</t>
        </is>
      </c>
      <c r="D799" t="inlineStr">
        <is>
          <t>Casablanca</t>
        </is>
      </c>
      <c r="E799" s="7" t="n">
        <v>3800000</v>
      </c>
      <c r="F799" s="8" t="n">
        <v>212</v>
      </c>
      <c r="G799" s="8" t="n"/>
      <c r="H799" s="8" t="n"/>
      <c r="I799" s="9">
        <f>IFERROR(E799/F799,"")</f>
        <v/>
      </c>
      <c r="P799" t="inlineStr">
        <is>
          <t>LISTED</t>
        </is>
      </c>
      <c r="S799" t="n">
        <v>33.57966522315228</v>
      </c>
      <c r="T799" t="n">
        <v>-7.640774236051254</v>
      </c>
      <c r="U799" s="7" t="n">
        <v>21861</v>
      </c>
      <c r="V799" t="inlineStr"/>
      <c r="W799" s="10" t="inlineStr">
        <is>
          <t>https://yakeey.com/fr-ma/achat/biens/141731</t>
        </is>
      </c>
    </row>
    <row r="800">
      <c r="A800" s="2" t="inlineStr">
        <is>
          <t>144045</t>
        </is>
      </c>
      <c r="B800" s="2" t="inlineStr">
        <is>
          <t>COMMERCIAL_BUILDING</t>
        </is>
      </c>
      <c r="C800" s="2" t="inlineStr">
        <is>
          <t>Bourgogne (Anfa)</t>
        </is>
      </c>
      <c r="D800" s="2" t="inlineStr">
        <is>
          <t>Casablanca</t>
        </is>
      </c>
      <c r="E800" s="3" t="n">
        <v>2800000</v>
      </c>
      <c r="F800" s="4" t="n">
        <v>150</v>
      </c>
      <c r="G800" s="4" t="n"/>
      <c r="H800" s="4" t="n"/>
      <c r="I800" s="5">
        <f>IFERROR(E800/F800,"")</f>
        <v/>
      </c>
      <c r="J800" s="2" t="n"/>
      <c r="K800" s="2" t="n"/>
      <c r="L800" s="2" t="n"/>
      <c r="M800" s="2" t="n"/>
      <c r="N800" s="2" t="n"/>
      <c r="O800" s="2" t="n"/>
      <c r="P800" s="2" t="inlineStr">
        <is>
          <t>LISTED</t>
        </is>
      </c>
      <c r="Q800" s="2" t="n"/>
      <c r="R800" s="2" t="n"/>
      <c r="S800" s="2" t="n">
        <v>33.59910184462997</v>
      </c>
      <c r="T800" s="2" t="n">
        <v>-7.643787002329574</v>
      </c>
      <c r="U800" s="3" t="n">
        <v>16108</v>
      </c>
      <c r="V800" s="2" t="inlineStr"/>
      <c r="W800" s="6" t="inlineStr">
        <is>
          <t>https://yakeey.com/fr-ma/achat/biens/144045</t>
        </is>
      </c>
    </row>
    <row r="801">
      <c r="A801" t="inlineStr">
        <is>
          <t>145476</t>
        </is>
      </c>
      <c r="B801" t="inlineStr">
        <is>
          <t>COMMERCIAL_BUILDING</t>
        </is>
      </c>
      <c r="C801" t="inlineStr">
        <is>
          <t>Oulfa</t>
        </is>
      </c>
      <c r="D801" t="inlineStr">
        <is>
          <t>Casablanca</t>
        </is>
      </c>
      <c r="E801" s="7" t="n">
        <v>3208500</v>
      </c>
      <c r="F801" s="8" t="n">
        <v>189</v>
      </c>
      <c r="G801" s="8" t="n"/>
      <c r="H801" s="8" t="n"/>
      <c r="I801" s="9">
        <f>IFERROR(E801/F801,"")</f>
        <v/>
      </c>
      <c r="P801" t="inlineStr">
        <is>
          <t>LISTED</t>
        </is>
      </c>
      <c r="S801" t="n">
        <v>33.5550731868158</v>
      </c>
      <c r="T801" t="n">
        <v>-7.679850942899648</v>
      </c>
      <c r="U801" s="7" t="n">
        <v>18458</v>
      </c>
      <c r="V801" t="inlineStr"/>
      <c r="W801" s="10" t="inlineStr">
        <is>
          <t>https://yakeey.com/fr-ma/achat/biens/145476</t>
        </is>
      </c>
    </row>
    <row r="802">
      <c r="A802" s="2" t="inlineStr">
        <is>
          <t>147292</t>
        </is>
      </c>
      <c r="B802" s="2" t="inlineStr">
        <is>
          <t>COMMERCIAL_BUILDING</t>
        </is>
      </c>
      <c r="C802" s="2" t="inlineStr">
        <is>
          <t>Racine</t>
        </is>
      </c>
      <c r="D802" s="2" t="inlineStr">
        <is>
          <t>Casablanca</t>
        </is>
      </c>
      <c r="E802" s="3" t="n">
        <v>14985000</v>
      </c>
      <c r="F802" s="4" t="n">
        <v>333</v>
      </c>
      <c r="G802" s="4" t="n"/>
      <c r="H802" s="4" t="n"/>
      <c r="I802" s="5">
        <f>IFERROR(E802/F802,"")</f>
        <v/>
      </c>
      <c r="J802" s="2" t="n"/>
      <c r="K802" s="2" t="n"/>
      <c r="L802" s="2" t="n"/>
      <c r="M802" s="2" t="n"/>
      <c r="N802" s="2" t="n"/>
      <c r="O802" s="2" t="n"/>
      <c r="P802" s="2" t="inlineStr">
        <is>
          <t>LISTED</t>
        </is>
      </c>
      <c r="Q802" s="2" t="n"/>
      <c r="R802" s="2" t="n"/>
      <c r="S802" s="2" t="n">
        <v>33.59139339884242</v>
      </c>
      <c r="T802" s="2" t="n">
        <v>-7.636443738042311</v>
      </c>
      <c r="U802" s="3" t="n">
        <v>86209</v>
      </c>
      <c r="V802" s="2" t="inlineStr"/>
      <c r="W802" s="6" t="inlineStr">
        <is>
          <t>https://yakeey.com/fr-ma/achat/biens/147292</t>
        </is>
      </c>
    </row>
    <row r="803">
      <c r="A803" t="inlineStr">
        <is>
          <t>148845</t>
        </is>
      </c>
      <c r="B803" t="inlineStr">
        <is>
          <t>COMMERCIAL_BUILDING</t>
        </is>
      </c>
      <c r="C803" t="inlineStr">
        <is>
          <t>Gauthier</t>
        </is>
      </c>
      <c r="D803" t="inlineStr">
        <is>
          <t>Casablanca</t>
        </is>
      </c>
      <c r="E803" s="7" t="n">
        <v>2225000</v>
      </c>
      <c r="F803" s="8" t="n">
        <v>140</v>
      </c>
      <c r="G803" s="8" t="n"/>
      <c r="H803" s="8" t="n"/>
      <c r="I803" s="9">
        <f>IFERROR(E803/F803,"")</f>
        <v/>
      </c>
      <c r="P803" t="inlineStr">
        <is>
          <t>LISTED</t>
        </is>
      </c>
      <c r="S803" t="n">
        <v>33.59193472244882</v>
      </c>
      <c r="T803" t="n">
        <v>-7.627964190695868</v>
      </c>
      <c r="U803" s="7" t="n">
        <v>12800</v>
      </c>
      <c r="V803" t="inlineStr"/>
      <c r="W803" s="10" t="inlineStr">
        <is>
          <t>https://yakeey.com/fr-ma/achat/biens/148845</t>
        </is>
      </c>
    </row>
    <row r="804">
      <c r="A804" s="2" t="inlineStr">
        <is>
          <t>153105</t>
        </is>
      </c>
      <c r="B804" s="2" t="inlineStr">
        <is>
          <t>COMMERCIAL_BUILDING</t>
        </is>
      </c>
      <c r="C804" s="2" t="inlineStr">
        <is>
          <t>Ferme Bretonne</t>
        </is>
      </c>
      <c r="D804" s="2" t="inlineStr">
        <is>
          <t>Casablanca</t>
        </is>
      </c>
      <c r="E804" s="3" t="n">
        <v>1100000</v>
      </c>
      <c r="F804" s="4" t="n">
        <v>110</v>
      </c>
      <c r="G804" s="4" t="n"/>
      <c r="H804" s="4" t="n"/>
      <c r="I804" s="5">
        <f>IFERROR(E804/F804,"")</f>
        <v/>
      </c>
      <c r="J804" s="2" t="n"/>
      <c r="K804" s="2" t="n"/>
      <c r="L804" s="2" t="n"/>
      <c r="M804" s="2" t="n"/>
      <c r="N804" s="2" t="n"/>
      <c r="O804" s="2" t="n"/>
      <c r="P804" s="2" t="inlineStr">
        <is>
          <t>LISTED</t>
        </is>
      </c>
      <c r="Q804" s="2" t="n"/>
      <c r="R804" s="2" t="n"/>
      <c r="S804" s="2" t="n">
        <v>33.56255343255891</v>
      </c>
      <c r="T804" s="2" t="n">
        <v>-7.646604947282643</v>
      </c>
      <c r="U804" s="3" t="n">
        <v>6328</v>
      </c>
      <c r="V804" s="2" t="inlineStr"/>
      <c r="W804" s="6" t="inlineStr">
        <is>
          <t>https://yakeey.com/fr-ma/achat/biens/153105</t>
        </is>
      </c>
    </row>
    <row r="805">
      <c r="A805" t="inlineStr">
        <is>
          <t>153164</t>
        </is>
      </c>
      <c r="B805" t="inlineStr">
        <is>
          <t>COMMERCIAL_BUILDING</t>
        </is>
      </c>
      <c r="C805" t="inlineStr">
        <is>
          <t>Ain Sebaa</t>
        </is>
      </c>
      <c r="D805" t="inlineStr">
        <is>
          <t>Casablanca</t>
        </is>
      </c>
      <c r="E805" s="7" t="n">
        <v>1990500</v>
      </c>
      <c r="F805" s="8" t="n">
        <v>211</v>
      </c>
      <c r="G805" s="8" t="n"/>
      <c r="H805" s="8" t="n"/>
      <c r="I805" s="9">
        <f>IFERROR(E805/F805,"")</f>
        <v/>
      </c>
      <c r="P805" t="inlineStr">
        <is>
          <t>LISTED</t>
        </is>
      </c>
      <c r="S805" t="n">
        <v>33.60205708938162</v>
      </c>
      <c r="T805" t="n">
        <v>-7.535857497013032</v>
      </c>
      <c r="U805" s="7" t="n">
        <v>11451</v>
      </c>
      <c r="V805" t="inlineStr"/>
      <c r="W805" s="10" t="inlineStr">
        <is>
          <t>https://yakeey.com/fr-ma/achat/biens/153164</t>
        </is>
      </c>
    </row>
    <row r="806">
      <c r="A806" s="2" t="inlineStr">
        <is>
          <t>153485</t>
        </is>
      </c>
      <c r="B806" s="2" t="inlineStr">
        <is>
          <t>COMMERCIAL_BUILDING</t>
        </is>
      </c>
      <c r="C806" s="2" t="inlineStr">
        <is>
          <t>Racine</t>
        </is>
      </c>
      <c r="D806" s="2" t="inlineStr">
        <is>
          <t>Casablanca</t>
        </is>
      </c>
      <c r="E806" s="3" t="n">
        <v>5500000</v>
      </c>
      <c r="F806" s="4" t="n">
        <v>140</v>
      </c>
      <c r="G806" s="4" t="n"/>
      <c r="H806" s="4" t="n"/>
      <c r="I806" s="5">
        <f>IFERROR(E806/F806,"")</f>
        <v/>
      </c>
      <c r="J806" s="2" t="n"/>
      <c r="K806" s="2" t="n"/>
      <c r="L806" s="2" t="n"/>
      <c r="M806" s="2" t="n"/>
      <c r="N806" s="2" t="n"/>
      <c r="O806" s="2" t="n"/>
      <c r="P806" s="2" t="inlineStr">
        <is>
          <t>LISTED</t>
        </is>
      </c>
      <c r="Q806" s="2" t="n"/>
      <c r="R806" s="2" t="n"/>
      <c r="S806" s="2" t="n">
        <v>33.59200988605323</v>
      </c>
      <c r="T806" s="2" t="n">
        <v>-7.642097291137985</v>
      </c>
      <c r="U806" s="3" t="n">
        <v>31641</v>
      </c>
      <c r="V806" s="2" t="inlineStr"/>
      <c r="W806" s="6" t="inlineStr">
        <is>
          <t>https://yakeey.com/fr-ma/achat/biens/153485</t>
        </is>
      </c>
    </row>
    <row r="807">
      <c r="A807" t="inlineStr">
        <is>
          <t>15710</t>
        </is>
      </c>
      <c r="B807" t="inlineStr">
        <is>
          <t>COMMERCIAL_BUILDING</t>
        </is>
      </c>
      <c r="C807" t="inlineStr">
        <is>
          <t>Sidi Bernoussi</t>
        </is>
      </c>
      <c r="D807" t="inlineStr">
        <is>
          <t>Casablanca</t>
        </is>
      </c>
      <c r="E807" s="7" t="n">
        <v>1300000</v>
      </c>
      <c r="F807" s="8" t="n">
        <v>63</v>
      </c>
      <c r="G807" s="8" t="n"/>
      <c r="H807" s="8" t="n"/>
      <c r="I807" s="9">
        <f>IFERROR(E807/F807,"")</f>
        <v/>
      </c>
      <c r="P807" t="inlineStr">
        <is>
          <t>LISTED</t>
        </is>
      </c>
      <c r="S807" t="n">
        <v>33.61214659999987</v>
      </c>
      <c r="T807" t="n">
        <v>-7.502943375564921</v>
      </c>
      <c r="U807" s="7" t="n">
        <v>7478</v>
      </c>
      <c r="V807" t="inlineStr"/>
      <c r="W807" s="10" t="inlineStr">
        <is>
          <t>https://yakeey.com/fr-ma/achat/biens/15710</t>
        </is>
      </c>
    </row>
    <row r="808">
      <c r="A808" s="2" t="inlineStr">
        <is>
          <t>157449</t>
        </is>
      </c>
      <c r="B808" s="2" t="inlineStr">
        <is>
          <t>COMMERCIAL_BUILDING</t>
        </is>
      </c>
      <c r="C808" s="2" t="inlineStr">
        <is>
          <t>Moulay Youssef</t>
        </is>
      </c>
      <c r="D808" s="2" t="inlineStr">
        <is>
          <t>Casablanca</t>
        </is>
      </c>
      <c r="E808" s="3" t="n">
        <v>6500000</v>
      </c>
      <c r="F808" s="4" t="n">
        <v>180</v>
      </c>
      <c r="G808" s="4" t="n"/>
      <c r="H808" s="4" t="n"/>
      <c r="I808" s="5">
        <f>IFERROR(E808/F808,"")</f>
        <v/>
      </c>
      <c r="J808" s="2" t="n"/>
      <c r="K808" s="2" t="n"/>
      <c r="L808" s="2" t="n"/>
      <c r="M808" s="2" t="n"/>
      <c r="N808" s="2" t="n"/>
      <c r="O808" s="2" t="n"/>
      <c r="P808" s="2" t="inlineStr">
        <is>
          <t>LISTED</t>
        </is>
      </c>
      <c r="Q808" s="2" t="n"/>
      <c r="R808" s="2" t="n"/>
      <c r="S808" s="2" t="n">
        <v>33.59824370891314</v>
      </c>
      <c r="T808" s="2" t="n">
        <v>-7.630540239288811</v>
      </c>
      <c r="U808" s="3" t="n">
        <v>37394</v>
      </c>
      <c r="V808" s="2" t="inlineStr"/>
      <c r="W808" s="6" t="inlineStr">
        <is>
          <t>https://yakeey.com/fr-ma/achat/biens/157449</t>
        </is>
      </c>
    </row>
    <row r="809">
      <c r="A809" t="inlineStr">
        <is>
          <t>158048</t>
        </is>
      </c>
      <c r="B809" t="inlineStr">
        <is>
          <t>COMMERCIAL_BUILDING</t>
        </is>
      </c>
      <c r="C809" t="inlineStr">
        <is>
          <t>Hopitaux</t>
        </is>
      </c>
      <c r="D809" t="inlineStr">
        <is>
          <t>Casablanca</t>
        </is>
      </c>
      <c r="E809" s="7" t="n">
        <v>3850000</v>
      </c>
      <c r="F809" s="8" t="n">
        <v>362</v>
      </c>
      <c r="G809" s="8" t="n"/>
      <c r="H809" s="8" t="n"/>
      <c r="I809" s="9">
        <f>IFERROR(E809/F809,"")</f>
        <v/>
      </c>
      <c r="P809" t="inlineStr">
        <is>
          <t>LISTED</t>
        </is>
      </c>
      <c r="S809" t="n">
        <v>33.57666028539616</v>
      </c>
      <c r="T809" t="n">
        <v>-7.61440098413098</v>
      </c>
      <c r="U809" s="7" t="n">
        <v>22149</v>
      </c>
      <c r="V809" t="inlineStr"/>
      <c r="W809" s="10" t="inlineStr">
        <is>
          <t>https://yakeey.com/fr-ma/achat/biens/158048</t>
        </is>
      </c>
    </row>
    <row r="810">
      <c r="A810" s="2" t="inlineStr">
        <is>
          <t>158461</t>
        </is>
      </c>
      <c r="B810" s="2" t="inlineStr">
        <is>
          <t>COMMERCIAL_BUILDING</t>
        </is>
      </c>
      <c r="C810" s="2" t="inlineStr">
        <is>
          <t>Maarif Extension</t>
        </is>
      </c>
      <c r="D810" s="2" t="inlineStr">
        <is>
          <t>Casablanca</t>
        </is>
      </c>
      <c r="E810" s="3" t="n">
        <v>5600000</v>
      </c>
      <c r="F810" s="4" t="n">
        <v>226</v>
      </c>
      <c r="G810" s="4" t="n"/>
      <c r="H810" s="4" t="n"/>
      <c r="I810" s="5">
        <f>IFERROR(E810/F810,"")</f>
        <v/>
      </c>
      <c r="J810" s="2" t="n"/>
      <c r="K810" s="2" t="n"/>
      <c r="L810" s="2" t="n"/>
      <c r="M810" s="2" t="n"/>
      <c r="N810" s="2" t="n"/>
      <c r="O810" s="2" t="n"/>
      <c r="P810" s="2" t="inlineStr">
        <is>
          <t>LISTED</t>
        </is>
      </c>
      <c r="Q810" s="2" t="n"/>
      <c r="R810" s="2" t="n"/>
      <c r="S810" s="2" t="n">
        <v>33.57517461435579</v>
      </c>
      <c r="T810" s="2" t="n">
        <v>-7.649230713361501</v>
      </c>
      <c r="U810" s="3" t="n">
        <v>32217</v>
      </c>
      <c r="V810" s="2" t="inlineStr"/>
      <c r="W810" s="6" t="inlineStr">
        <is>
          <t>https://yakeey.com/fr-ma/achat/biens/158461</t>
        </is>
      </c>
    </row>
    <row r="811">
      <c r="A811" t="inlineStr">
        <is>
          <t>159534</t>
        </is>
      </c>
      <c r="B811" t="inlineStr">
        <is>
          <t>COMMERCIAL_BUILDING</t>
        </is>
      </c>
      <c r="C811" t="inlineStr">
        <is>
          <t>Hopitaux</t>
        </is>
      </c>
      <c r="D811" t="inlineStr">
        <is>
          <t>Casablanca</t>
        </is>
      </c>
      <c r="E811" s="7" t="n">
        <v>4250000</v>
      </c>
      <c r="F811" s="8" t="n">
        <v>193</v>
      </c>
      <c r="G811" s="8" t="n"/>
      <c r="H811" s="8" t="n"/>
      <c r="I811" s="9">
        <f>IFERROR(E811/F811,"")</f>
        <v/>
      </c>
      <c r="P811" t="inlineStr">
        <is>
          <t>LISTED</t>
        </is>
      </c>
      <c r="S811" t="n">
        <v>33.57596747548041</v>
      </c>
      <c r="T811" t="n">
        <v>-7.614071355503285</v>
      </c>
      <c r="U811" s="7" t="n">
        <v>24450</v>
      </c>
      <c r="V811" t="inlineStr"/>
      <c r="W811" s="10" t="inlineStr">
        <is>
          <t>https://yakeey.com/fr-ma/achat/biens/159534</t>
        </is>
      </c>
    </row>
    <row r="812">
      <c r="A812" s="2" t="inlineStr">
        <is>
          <t>160436</t>
        </is>
      </c>
      <c r="B812" s="2" t="inlineStr">
        <is>
          <t>COMMERCIAL_BUILDING</t>
        </is>
      </c>
      <c r="C812" s="2" t="inlineStr">
        <is>
          <t>Val Fleuri</t>
        </is>
      </c>
      <c r="D812" s="2" t="inlineStr">
        <is>
          <t>Casablanca</t>
        </is>
      </c>
      <c r="E812" s="3" t="n">
        <v>2800000</v>
      </c>
      <c r="F812" s="4" t="n">
        <v>76</v>
      </c>
      <c r="G812" s="4" t="n"/>
      <c r="H812" s="4" t="n"/>
      <c r="I812" s="5">
        <f>IFERROR(E812/F812,"")</f>
        <v/>
      </c>
      <c r="J812" s="2" t="n"/>
      <c r="K812" s="2" t="n"/>
      <c r="L812" s="2" t="n"/>
      <c r="M812" s="2" t="n"/>
      <c r="N812" s="2" t="n"/>
      <c r="O812" s="2" t="n"/>
      <c r="P812" s="2" t="inlineStr">
        <is>
          <t>LISTED</t>
        </is>
      </c>
      <c r="Q812" s="2" t="n"/>
      <c r="R812" s="2" t="n"/>
      <c r="S812" s="2" t="n">
        <v>33.57519861183914</v>
      </c>
      <c r="T812" s="2" t="n">
        <v>-7.638207738180461</v>
      </c>
      <c r="U812" s="3" t="n">
        <v>16108</v>
      </c>
      <c r="V812" s="2" t="inlineStr"/>
      <c r="W812" s="6" t="inlineStr">
        <is>
          <t>https://yakeey.com/fr-ma/achat/biens/160436</t>
        </is>
      </c>
    </row>
    <row r="813">
      <c r="A813" t="inlineStr">
        <is>
          <t>160778</t>
        </is>
      </c>
      <c r="B813" t="inlineStr">
        <is>
          <t>COMMERCIAL_BUILDING</t>
        </is>
      </c>
      <c r="C813" t="inlineStr">
        <is>
          <t>Les Princesses</t>
        </is>
      </c>
      <c r="D813" t="inlineStr">
        <is>
          <t>Casablanca</t>
        </is>
      </c>
      <c r="E813" s="7" t="n">
        <v>3137500</v>
      </c>
      <c r="F813" s="8" t="n">
        <v>155</v>
      </c>
      <c r="G813" s="8" t="n"/>
      <c r="H813" s="8" t="n"/>
      <c r="I813" s="9">
        <f>IFERROR(E813/F813,"")</f>
        <v/>
      </c>
      <c r="P813" t="inlineStr">
        <is>
          <t>LISTED</t>
        </is>
      </c>
      <c r="S813" t="n">
        <v>33.57642404304946</v>
      </c>
      <c r="T813" t="n">
        <v>-7.645172553182037</v>
      </c>
      <c r="U813" s="7" t="n">
        <v>18050</v>
      </c>
      <c r="V813" t="inlineStr"/>
      <c r="W813" s="10" t="inlineStr">
        <is>
          <t>https://yakeey.com/fr-ma/achat/biens/160778</t>
        </is>
      </c>
    </row>
    <row r="814">
      <c r="A814" s="2" t="inlineStr">
        <is>
          <t>160799</t>
        </is>
      </c>
      <c r="B814" s="2" t="inlineStr">
        <is>
          <t>COMMERCIAL_BUILDING</t>
        </is>
      </c>
      <c r="C814" s="2" t="inlineStr">
        <is>
          <t>Les Princesses</t>
        </is>
      </c>
      <c r="D814" s="2" t="inlineStr">
        <is>
          <t>Casablanca</t>
        </is>
      </c>
      <c r="E814" s="3" t="n">
        <v>3550000</v>
      </c>
      <c r="F814" s="4" t="n">
        <v>176</v>
      </c>
      <c r="G814" s="4" t="n"/>
      <c r="H814" s="4" t="n"/>
      <c r="I814" s="5">
        <f>IFERROR(E814/F814,"")</f>
        <v/>
      </c>
      <c r="J814" s="2" t="n"/>
      <c r="K814" s="2" t="n"/>
      <c r="L814" s="2" t="n"/>
      <c r="M814" s="2" t="n"/>
      <c r="N814" s="2" t="n"/>
      <c r="O814" s="2" t="n"/>
      <c r="P814" s="2" t="inlineStr">
        <is>
          <t>LISTED</t>
        </is>
      </c>
      <c r="Q814" s="2" t="n"/>
      <c r="R814" s="2" t="n"/>
      <c r="S814" s="2" t="n">
        <v>33.57839862569591</v>
      </c>
      <c r="T814" s="2" t="n">
        <v>-7.645043944988538</v>
      </c>
      <c r="U814" s="3" t="n">
        <v>20423</v>
      </c>
      <c r="V814" s="2" t="inlineStr"/>
      <c r="W814" s="6" t="inlineStr">
        <is>
          <t>https://yakeey.com/fr-ma/achat/biens/160799</t>
        </is>
      </c>
    </row>
    <row r="815">
      <c r="A815" t="inlineStr">
        <is>
          <t>160816</t>
        </is>
      </c>
      <c r="B815" t="inlineStr">
        <is>
          <t>COMMERCIAL_BUILDING</t>
        </is>
      </c>
      <c r="C815" t="inlineStr">
        <is>
          <t>Les Princesses</t>
        </is>
      </c>
      <c r="D815" t="inlineStr">
        <is>
          <t>Casablanca</t>
        </is>
      </c>
      <c r="E815" s="7" t="n">
        <v>5075000</v>
      </c>
      <c r="F815" s="8" t="n">
        <v>233</v>
      </c>
      <c r="G815" s="8" t="n"/>
      <c r="H815" s="8" t="n"/>
      <c r="I815" s="9">
        <f>IFERROR(E815/F815,"")</f>
        <v/>
      </c>
      <c r="P815" t="inlineStr">
        <is>
          <t>LISTED</t>
        </is>
      </c>
      <c r="S815" t="n">
        <v>33.5768485282247</v>
      </c>
      <c r="T815" t="n">
        <v>-7.645391317017691</v>
      </c>
      <c r="U815" s="7" t="n">
        <v>29196</v>
      </c>
      <c r="V815" t="inlineStr"/>
      <c r="W815" s="10" t="inlineStr">
        <is>
          <t>https://yakeey.com/fr-ma/achat/biens/160816</t>
        </is>
      </c>
    </row>
    <row r="816">
      <c r="A816" s="2" t="inlineStr">
        <is>
          <t>161942</t>
        </is>
      </c>
      <c r="B816" s="2" t="inlineStr">
        <is>
          <t>COMMERCIAL_BUILDING</t>
        </is>
      </c>
      <c r="C816" s="2" t="inlineStr">
        <is>
          <t>Bourgogne (Sidi Belyout)</t>
        </is>
      </c>
      <c r="D816" s="2" t="inlineStr">
        <is>
          <t>Casablanca</t>
        </is>
      </c>
      <c r="E816" s="3" t="n">
        <v>4444050</v>
      </c>
      <c r="F816" s="4" t="n">
        <v>258</v>
      </c>
      <c r="G816" s="4" t="n"/>
      <c r="H816" s="4" t="n"/>
      <c r="I816" s="5">
        <f>IFERROR(E816/F816,"")</f>
        <v/>
      </c>
      <c r="J816" s="2" t="n"/>
      <c r="K816" s="2" t="n"/>
      <c r="L816" s="2" t="n"/>
      <c r="M816" s="2" t="n"/>
      <c r="N816" s="2" t="n"/>
      <c r="O816" s="2" t="n"/>
      <c r="P816" s="2" t="inlineStr">
        <is>
          <t>LISTED</t>
        </is>
      </c>
      <c r="Q816" s="2" t="n"/>
      <c r="R816" s="2" t="n"/>
      <c r="S816" s="2" t="n">
        <v>33.59551034969554</v>
      </c>
      <c r="T816" s="2" t="n">
        <v>-7.630989123838649</v>
      </c>
      <c r="U816" s="3" t="n">
        <v>25566</v>
      </c>
      <c r="V816" s="2" t="inlineStr"/>
      <c r="W816" s="6" t="inlineStr">
        <is>
          <t>https://yakeey.com/fr-ma/achat/biens/161942</t>
        </is>
      </c>
    </row>
    <row r="817">
      <c r="A817" t="inlineStr">
        <is>
          <t>164553</t>
        </is>
      </c>
      <c r="B817" t="inlineStr">
        <is>
          <t>COMMERCIAL_BUILDING</t>
        </is>
      </c>
      <c r="C817" t="inlineStr">
        <is>
          <t>Val Fleuri</t>
        </is>
      </c>
      <c r="D817" t="inlineStr">
        <is>
          <t>Casablanca</t>
        </is>
      </c>
      <c r="E817" s="7" t="n">
        <v>3600000</v>
      </c>
      <c r="F817" s="8" t="n">
        <v>147</v>
      </c>
      <c r="G817" s="8" t="n"/>
      <c r="H817" s="8" t="n"/>
      <c r="I817" s="9">
        <f>IFERROR(E817/F817,"")</f>
        <v/>
      </c>
      <c r="P817" t="inlineStr">
        <is>
          <t>LISTED</t>
        </is>
      </c>
      <c r="S817" t="n">
        <v>33.57283944303835</v>
      </c>
      <c r="T817" t="n">
        <v>-7.638897392501024</v>
      </c>
      <c r="U817" s="7" t="n">
        <v>20711</v>
      </c>
      <c r="V817" t="inlineStr"/>
      <c r="W817" s="10" t="inlineStr">
        <is>
          <t>https://yakeey.com/fr-ma/achat/biens/164553</t>
        </is>
      </c>
    </row>
    <row r="818">
      <c r="A818" s="2" t="inlineStr">
        <is>
          <t>165426</t>
        </is>
      </c>
      <c r="B818" s="2" t="inlineStr">
        <is>
          <t>COMMERCIAL_BUILDING</t>
        </is>
      </c>
      <c r="C818" s="2" t="inlineStr">
        <is>
          <t>Palmier (Maarif)</t>
        </is>
      </c>
      <c r="D818" s="2" t="inlineStr">
        <is>
          <t>Casablanca</t>
        </is>
      </c>
      <c r="E818" s="3" t="n">
        <v>2600000</v>
      </c>
      <c r="F818" s="4" t="n">
        <v>152</v>
      </c>
      <c r="G818" s="4" t="n"/>
      <c r="H818" s="4" t="n"/>
      <c r="I818" s="5">
        <f>IFERROR(E818/F818,"")</f>
        <v/>
      </c>
      <c r="J818" s="2" t="n"/>
      <c r="K818" s="2" t="n"/>
      <c r="L818" s="2" t="n"/>
      <c r="M818" s="2" t="n"/>
      <c r="N818" s="2" t="n"/>
      <c r="O818" s="2" t="n"/>
      <c r="P818" s="2" t="inlineStr">
        <is>
          <t>LISTED</t>
        </is>
      </c>
      <c r="Q818" s="2" t="n"/>
      <c r="R818" s="2" t="n"/>
      <c r="S818" s="2" t="n">
        <v>33.57876370016997</v>
      </c>
      <c r="T818" s="2" t="n">
        <v>-7.630909087308615</v>
      </c>
      <c r="U818" s="3" t="n">
        <v>14957</v>
      </c>
      <c r="V818" s="2" t="inlineStr"/>
      <c r="W818" s="6" t="inlineStr">
        <is>
          <t>https://yakeey.com/fr-ma/achat/biens/165426</t>
        </is>
      </c>
    </row>
    <row r="819">
      <c r="A819" t="inlineStr">
        <is>
          <t>165522</t>
        </is>
      </c>
      <c r="B819" t="inlineStr">
        <is>
          <t>COMMERCIAL_BUILDING</t>
        </is>
      </c>
      <c r="C819" t="inlineStr">
        <is>
          <t>Beausejour</t>
        </is>
      </c>
      <c r="D819" t="inlineStr">
        <is>
          <t>Casablanca</t>
        </is>
      </c>
      <c r="E819" s="7" t="n">
        <v>4500000</v>
      </c>
      <c r="F819" s="8" t="n">
        <v>296</v>
      </c>
      <c r="G819" s="8" t="n"/>
      <c r="H819" s="8" t="n"/>
      <c r="I819" s="9">
        <f>IFERROR(E819/F819,"")</f>
        <v/>
      </c>
      <c r="P819" t="inlineStr">
        <is>
          <t>LISTED</t>
        </is>
      </c>
      <c r="S819" t="n">
        <v>33.56802198219598</v>
      </c>
      <c r="T819" t="n">
        <v>-7.653037395960033</v>
      </c>
      <c r="U819" s="7" t="n">
        <v>25888</v>
      </c>
      <c r="V819" t="inlineStr"/>
      <c r="W819" s="10" t="inlineStr">
        <is>
          <t>https://yakeey.com/fr-ma/achat/biens/165522</t>
        </is>
      </c>
    </row>
    <row r="820">
      <c r="A820" s="2" t="inlineStr">
        <is>
          <t>166294</t>
        </is>
      </c>
      <c r="B820" s="2" t="inlineStr">
        <is>
          <t>COMMERCIAL_BUILDING</t>
        </is>
      </c>
      <c r="C820" s="2" t="inlineStr">
        <is>
          <t>Bourgogne (Anfa)</t>
        </is>
      </c>
      <c r="D820" s="2" t="inlineStr">
        <is>
          <t>Casablanca</t>
        </is>
      </c>
      <c r="E820" s="3" t="n">
        <v>2600000</v>
      </c>
      <c r="F820" s="4" t="n">
        <v>98</v>
      </c>
      <c r="G820" s="4" t="n"/>
      <c r="H820" s="4" t="n"/>
      <c r="I820" s="5">
        <f>IFERROR(E820/F820,"")</f>
        <v/>
      </c>
      <c r="J820" s="2" t="n"/>
      <c r="K820" s="2" t="n"/>
      <c r="L820" s="2" t="n"/>
      <c r="M820" s="2" t="n"/>
      <c r="N820" s="2" t="n"/>
      <c r="O820" s="2" t="n"/>
      <c r="P820" s="2" t="inlineStr">
        <is>
          <t>LISTED</t>
        </is>
      </c>
      <c r="Q820" s="2" t="n"/>
      <c r="R820" s="2" t="n"/>
      <c r="S820" s="2" t="n">
        <v>33.59743140129399</v>
      </c>
      <c r="T820" s="2" t="n">
        <v>-7.642619481571698</v>
      </c>
      <c r="U820" s="3" t="n">
        <v>14957</v>
      </c>
      <c r="V820" s="2" t="inlineStr"/>
      <c r="W820" s="6" t="inlineStr">
        <is>
          <t>https://yakeey.com/fr-ma/achat/biens/166294</t>
        </is>
      </c>
    </row>
    <row r="821">
      <c r="A821" t="inlineStr">
        <is>
          <t>166929</t>
        </is>
      </c>
      <c r="B821" t="inlineStr">
        <is>
          <t>COMMERCIAL_BUILDING</t>
        </is>
      </c>
      <c r="C821" t="inlineStr">
        <is>
          <t>Roches Noires</t>
        </is>
      </c>
      <c r="D821" t="inlineStr">
        <is>
          <t>Casablanca</t>
        </is>
      </c>
      <c r="E821" s="7" t="n">
        <v>2400000</v>
      </c>
      <c r="F821" s="8" t="n">
        <v>138</v>
      </c>
      <c r="G821" s="8" t="n"/>
      <c r="H821" s="8" t="n"/>
      <c r="I821" s="9">
        <f>IFERROR(E821/F821,"")</f>
        <v/>
      </c>
      <c r="P821" t="inlineStr">
        <is>
          <t>LISTED</t>
        </is>
      </c>
      <c r="S821" t="n">
        <v>33.59790866183246</v>
      </c>
      <c r="T821" t="n">
        <v>-7.585037264968322</v>
      </c>
      <c r="U821" s="7" t="n">
        <v>13807</v>
      </c>
      <c r="V821" t="inlineStr"/>
      <c r="W821" s="10" t="inlineStr">
        <is>
          <t>https://yakeey.com/fr-ma/achat/biens/166929</t>
        </is>
      </c>
    </row>
    <row r="822">
      <c r="A822" s="2" t="inlineStr">
        <is>
          <t>167127</t>
        </is>
      </c>
      <c r="B822" s="2" t="inlineStr">
        <is>
          <t>COMMERCIAL_BUILDING</t>
        </is>
      </c>
      <c r="C822" s="2" t="inlineStr">
        <is>
          <t>Gauthier</t>
        </is>
      </c>
      <c r="D822" s="2" t="inlineStr">
        <is>
          <t>Casablanca</t>
        </is>
      </c>
      <c r="E822" s="3" t="n">
        <v>1400000</v>
      </c>
      <c r="F822" s="4" t="n">
        <v>52</v>
      </c>
      <c r="G822" s="4" t="n"/>
      <c r="H822" s="4" t="n"/>
      <c r="I822" s="5">
        <f>IFERROR(E822/F822,"")</f>
        <v/>
      </c>
      <c r="J822" s="2" t="n"/>
      <c r="K822" s="2" t="n"/>
      <c r="L822" s="2" t="n"/>
      <c r="M822" s="2" t="n"/>
      <c r="N822" s="2" t="n"/>
      <c r="O822" s="2" t="n"/>
      <c r="P822" s="2" t="inlineStr">
        <is>
          <t>LISTED</t>
        </is>
      </c>
      <c r="Q822" s="2" t="n"/>
      <c r="R822" s="2" t="n"/>
      <c r="S822" s="2" t="n">
        <v>33.59204221426216</v>
      </c>
      <c r="T822" s="2" t="n">
        <v>-7.631666336245241</v>
      </c>
      <c r="U822" s="3" t="n">
        <v>8054</v>
      </c>
      <c r="V822" s="2" t="inlineStr"/>
      <c r="W822" s="6" t="inlineStr">
        <is>
          <t>https://yakeey.com/fr-ma/achat/biens/167127</t>
        </is>
      </c>
    </row>
    <row r="823">
      <c r="A823" t="inlineStr">
        <is>
          <t>167587</t>
        </is>
      </c>
      <c r="B823" t="inlineStr">
        <is>
          <t>COMMERCIAL_BUILDING</t>
        </is>
      </c>
      <c r="C823" t="inlineStr">
        <is>
          <t>Ain Chock</t>
        </is>
      </c>
      <c r="D823" t="inlineStr">
        <is>
          <t>Casablanca</t>
        </is>
      </c>
      <c r="E823" s="7" t="n">
        <v>1800000</v>
      </c>
      <c r="F823" s="8" t="n">
        <v>49</v>
      </c>
      <c r="G823" s="8" t="n"/>
      <c r="H823" s="8" t="n"/>
      <c r="I823" s="9">
        <f>IFERROR(E823/F823,"")</f>
        <v/>
      </c>
      <c r="P823" t="inlineStr">
        <is>
          <t>LISTED</t>
        </is>
      </c>
      <c r="S823" t="n">
        <v>33.53692579820814</v>
      </c>
      <c r="T823" t="n">
        <v>-7.59651030086371</v>
      </c>
      <c r="U823" s="7" t="n">
        <v>10355</v>
      </c>
      <c r="V823" t="inlineStr"/>
      <c r="W823" s="10" t="inlineStr">
        <is>
          <t>https://yakeey.com/fr-ma/achat/biens/167587</t>
        </is>
      </c>
    </row>
    <row r="824">
      <c r="A824" s="2" t="inlineStr">
        <is>
          <t>168844</t>
        </is>
      </c>
      <c r="B824" s="2" t="inlineStr">
        <is>
          <t>COMMERCIAL_BUILDING</t>
        </is>
      </c>
      <c r="C824" s="2" t="inlineStr">
        <is>
          <t>Sidi Moumen</t>
        </is>
      </c>
      <c r="D824" s="2" t="inlineStr">
        <is>
          <t>Casablanca</t>
        </is>
      </c>
      <c r="E824" s="3" t="n">
        <v>560000</v>
      </c>
      <c r="F824" s="4" t="n">
        <v>27</v>
      </c>
      <c r="G824" s="4" t="n"/>
      <c r="H824" s="4" t="n"/>
      <c r="I824" s="5">
        <f>IFERROR(E824/F824,"")</f>
        <v/>
      </c>
      <c r="J824" s="2" t="n"/>
      <c r="K824" s="2" t="n"/>
      <c r="L824" s="2" t="n"/>
      <c r="M824" s="2" t="n"/>
      <c r="N824" s="2" t="n"/>
      <c r="O824" s="2" t="n"/>
      <c r="P824" s="2" t="inlineStr">
        <is>
          <t>LISTED</t>
        </is>
      </c>
      <c r="Q824" s="2" t="n"/>
      <c r="R824" s="2" t="n"/>
      <c r="S824" s="2" t="n">
        <v>33.58213955425884</v>
      </c>
      <c r="T824" s="2" t="n">
        <v>-7.501971872189337</v>
      </c>
      <c r="U824" s="3" t="n">
        <v>3221</v>
      </c>
      <c r="V824" s="2" t="inlineStr"/>
      <c r="W824" s="6" t="inlineStr">
        <is>
          <t>https://yakeey.com/fr-ma/achat/biens/168844</t>
        </is>
      </c>
    </row>
    <row r="825">
      <c r="A825" t="inlineStr">
        <is>
          <t>170231</t>
        </is>
      </c>
      <c r="B825" t="inlineStr">
        <is>
          <t>COMMERCIAL_BUILDING</t>
        </is>
      </c>
      <c r="C825" t="inlineStr">
        <is>
          <t>Casablanca Finance City</t>
        </is>
      </c>
      <c r="D825" t="inlineStr">
        <is>
          <t>Casablanca</t>
        </is>
      </c>
      <c r="E825" s="7" t="n">
        <v>4500000</v>
      </c>
      <c r="F825" s="8" t="n">
        <v>189</v>
      </c>
      <c r="G825" s="8" t="n"/>
      <c r="H825" s="8" t="n"/>
      <c r="I825" s="9">
        <f>IFERROR(E825/F825,"")</f>
        <v/>
      </c>
      <c r="P825" t="inlineStr">
        <is>
          <t>LISTED</t>
        </is>
      </c>
      <c r="S825" t="n">
        <v>33.55441007270357</v>
      </c>
      <c r="T825" t="n">
        <v>-7.647537665503266</v>
      </c>
      <c r="U825" s="7" t="n">
        <v>25888</v>
      </c>
      <c r="V825" t="inlineStr"/>
      <c r="W825" s="10" t="inlineStr">
        <is>
          <t>https://yakeey.com/fr-ma/achat/biens/170231</t>
        </is>
      </c>
    </row>
    <row r="826">
      <c r="A826" s="2" t="inlineStr">
        <is>
          <t>170546</t>
        </is>
      </c>
      <c r="B826" s="2" t="inlineStr">
        <is>
          <t>COMMERCIAL_BUILDING</t>
        </is>
      </c>
      <c r="C826" s="2" t="inlineStr">
        <is>
          <t>Ain Chock</t>
        </is>
      </c>
      <c r="D826" s="2" t="inlineStr">
        <is>
          <t>Casablanca</t>
        </is>
      </c>
      <c r="E826" s="3" t="n">
        <v>5700000</v>
      </c>
      <c r="F826" s="4" t="n">
        <v>466</v>
      </c>
      <c r="G826" s="4" t="n"/>
      <c r="H826" s="4" t="n"/>
      <c r="I826" s="5">
        <f>IFERROR(E826/F826,"")</f>
        <v/>
      </c>
      <c r="J826" s="2" t="n"/>
      <c r="K826" s="2" t="n"/>
      <c r="L826" s="2" t="n"/>
      <c r="M826" s="2" t="n"/>
      <c r="N826" s="2" t="n"/>
      <c r="O826" s="2" t="n"/>
      <c r="P826" s="2" t="inlineStr">
        <is>
          <t>LISTED</t>
        </is>
      </c>
      <c r="Q826" s="2" t="n"/>
      <c r="R826" s="2" t="n"/>
      <c r="S826" s="2" t="n">
        <v>33.5543207003355</v>
      </c>
      <c r="T826" s="2" t="n">
        <v>-7.590335153812054</v>
      </c>
      <c r="U826" s="3" t="n">
        <v>32792</v>
      </c>
      <c r="V826" s="2" t="inlineStr"/>
      <c r="W826" s="6" t="inlineStr">
        <is>
          <t>https://yakeey.com/fr-ma/achat/biens/170546</t>
        </is>
      </c>
    </row>
    <row r="827">
      <c r="A827" t="inlineStr">
        <is>
          <t>170898</t>
        </is>
      </c>
      <c r="B827" t="inlineStr">
        <is>
          <t>COMMERCIAL_BUILDING</t>
        </is>
      </c>
      <c r="C827" t="inlineStr">
        <is>
          <t>Palmier (Maarif)</t>
        </is>
      </c>
      <c r="D827" t="inlineStr">
        <is>
          <t>Casablanca</t>
        </is>
      </c>
      <c r="E827" s="7" t="n">
        <v>3800000</v>
      </c>
      <c r="F827" s="8" t="n">
        <v>241</v>
      </c>
      <c r="G827" s="8" t="n"/>
      <c r="H827" s="8" t="n"/>
      <c r="I827" s="9">
        <f>IFERROR(E827/F827,"")</f>
        <v/>
      </c>
      <c r="P827" t="inlineStr">
        <is>
          <t>LISTED</t>
        </is>
      </c>
      <c r="S827" t="n">
        <v>33.57970232932986</v>
      </c>
      <c r="T827" t="n">
        <v>-7.629048307262848</v>
      </c>
      <c r="U827" s="7" t="n">
        <v>21861</v>
      </c>
      <c r="V827" t="inlineStr"/>
      <c r="W827" s="10" t="inlineStr">
        <is>
          <t>https://yakeey.com/fr-ma/achat/biens/170898</t>
        </is>
      </c>
    </row>
    <row r="828">
      <c r="A828" s="2" t="inlineStr">
        <is>
          <t>171084</t>
        </is>
      </c>
      <c r="B828" s="2" t="inlineStr">
        <is>
          <t>COMMERCIAL_BUILDING</t>
        </is>
      </c>
      <c r="C828" s="2" t="inlineStr">
        <is>
          <t>Hopitaux</t>
        </is>
      </c>
      <c r="D828" s="2" t="inlineStr">
        <is>
          <t>Casablanca</t>
        </is>
      </c>
      <c r="E828" s="3" t="n">
        <v>2500000</v>
      </c>
      <c r="F828" s="4" t="n">
        <v>75</v>
      </c>
      <c r="G828" s="4" t="n"/>
      <c r="H828" s="4" t="n"/>
      <c r="I828" s="5">
        <f>IFERROR(E828/F828,"")</f>
        <v/>
      </c>
      <c r="J828" s="2" t="n"/>
      <c r="K828" s="2" t="n"/>
      <c r="L828" s="2" t="n"/>
      <c r="M828" s="2" t="n"/>
      <c r="N828" s="2" t="n"/>
      <c r="O828" s="2" t="n"/>
      <c r="P828" s="2" t="inlineStr">
        <is>
          <t>LISTED</t>
        </is>
      </c>
      <c r="Q828" s="2" t="n"/>
      <c r="R828" s="2" t="n"/>
      <c r="S828" s="2" t="n">
        <v>33.57001577354647</v>
      </c>
      <c r="T828" s="2" t="n">
        <v>-7.614058302247642</v>
      </c>
      <c r="U828" s="3" t="n">
        <v>14382</v>
      </c>
      <c r="V828" s="2" t="inlineStr"/>
      <c r="W828" s="6" t="inlineStr">
        <is>
          <t>https://yakeey.com/fr-ma/achat/biens/171084</t>
        </is>
      </c>
    </row>
    <row r="829">
      <c r="A829" t="inlineStr">
        <is>
          <t>171974</t>
        </is>
      </c>
      <c r="B829" t="inlineStr">
        <is>
          <t>COMMERCIAL_BUILDING</t>
        </is>
      </c>
      <c r="C829" t="inlineStr">
        <is>
          <t>Maarif Extension</t>
        </is>
      </c>
      <c r="D829" t="inlineStr">
        <is>
          <t>Casablanca</t>
        </is>
      </c>
      <c r="E829" s="7" t="n">
        <v>2430000</v>
      </c>
      <c r="F829" s="8" t="n">
        <v>180</v>
      </c>
      <c r="G829" s="8" t="n"/>
      <c r="H829" s="8" t="n"/>
      <c r="I829" s="9">
        <f>IFERROR(E829/F829,"")</f>
        <v/>
      </c>
      <c r="P829" t="inlineStr">
        <is>
          <t>LISTED</t>
        </is>
      </c>
      <c r="S829" t="n">
        <v>33.57757083875735</v>
      </c>
      <c r="T829" t="n">
        <v>-7.643571438960366</v>
      </c>
      <c r="U829" s="7" t="n">
        <v>13979</v>
      </c>
      <c r="V829" t="inlineStr"/>
      <c r="W829" s="10" t="inlineStr">
        <is>
          <t>https://yakeey.com/fr-ma/achat/biens/171974</t>
        </is>
      </c>
    </row>
    <row r="830">
      <c r="A830" s="2" t="inlineStr">
        <is>
          <t>172023</t>
        </is>
      </c>
      <c r="B830" s="2" t="inlineStr">
        <is>
          <t>COMMERCIAL_BUILDING</t>
        </is>
      </c>
      <c r="C830" s="2" t="inlineStr">
        <is>
          <t>Hopitaux</t>
        </is>
      </c>
      <c r="D830" s="2" t="inlineStr">
        <is>
          <t>Casablanca</t>
        </is>
      </c>
      <c r="E830" s="3" t="n">
        <v>4500000</v>
      </c>
      <c r="F830" s="4" t="n">
        <v>272</v>
      </c>
      <c r="G830" s="4" t="n"/>
      <c r="H830" s="4" t="n"/>
      <c r="I830" s="5">
        <f>IFERROR(E830/F830,"")</f>
        <v/>
      </c>
      <c r="J830" s="2" t="n"/>
      <c r="K830" s="2" t="n"/>
      <c r="L830" s="2" t="n"/>
      <c r="M830" s="2" t="n"/>
      <c r="N830" s="2" t="n"/>
      <c r="O830" s="2" t="n"/>
      <c r="P830" s="2" t="inlineStr">
        <is>
          <t>LISTED</t>
        </is>
      </c>
      <c r="Q830" s="2" t="n"/>
      <c r="R830" s="2" t="n"/>
      <c r="S830" s="2" t="n">
        <v>33.57474101346303</v>
      </c>
      <c r="T830" s="2" t="n">
        <v>-7.621748991970891</v>
      </c>
      <c r="U830" s="3" t="n">
        <v>25888</v>
      </c>
      <c r="V830" s="2" t="inlineStr"/>
      <c r="W830" s="6" t="inlineStr">
        <is>
          <t>https://yakeey.com/fr-ma/achat/biens/172023</t>
        </is>
      </c>
    </row>
    <row r="831">
      <c r="A831" t="inlineStr">
        <is>
          <t>173477</t>
        </is>
      </c>
      <c r="B831" t="inlineStr">
        <is>
          <t>COMMERCIAL_BUILDING</t>
        </is>
      </c>
      <c r="C831" t="inlineStr">
        <is>
          <t>Liberte</t>
        </is>
      </c>
      <c r="D831" t="inlineStr">
        <is>
          <t>Casablanca</t>
        </is>
      </c>
      <c r="E831" s="7" t="n">
        <v>2900000</v>
      </c>
      <c r="F831" s="8" t="n">
        <v>167</v>
      </c>
      <c r="G831" s="8" t="n"/>
      <c r="H831" s="8" t="n"/>
      <c r="I831" s="9">
        <f>IFERROR(E831/F831,"")</f>
        <v/>
      </c>
      <c r="P831" t="inlineStr">
        <is>
          <t>LISTED</t>
        </is>
      </c>
      <c r="S831" t="n">
        <v>33.58502881282412</v>
      </c>
      <c r="T831" t="n">
        <v>-7.614413938976642</v>
      </c>
      <c r="U831" s="7" t="n">
        <v>16683</v>
      </c>
      <c r="V831" t="inlineStr"/>
      <c r="W831" s="10" t="inlineStr">
        <is>
          <t>https://yakeey.com/fr-ma/achat/biens/173477</t>
        </is>
      </c>
    </row>
    <row r="832">
      <c r="A832" s="2" t="inlineStr">
        <is>
          <t>178031</t>
        </is>
      </c>
      <c r="B832" s="2" t="inlineStr">
        <is>
          <t>COMMERCIAL_BUILDING</t>
        </is>
      </c>
      <c r="C832" s="2" t="inlineStr">
        <is>
          <t>Racine</t>
        </is>
      </c>
      <c r="D832" s="2" t="inlineStr">
        <is>
          <t>Casablanca</t>
        </is>
      </c>
      <c r="E832" s="3" t="n">
        <v>5950000</v>
      </c>
      <c r="F832" s="4" t="n">
        <v>334</v>
      </c>
      <c r="G832" s="4" t="n"/>
      <c r="H832" s="4" t="n"/>
      <c r="I832" s="5">
        <f>IFERROR(E832/F832,"")</f>
        <v/>
      </c>
      <c r="J832" s="2" t="n"/>
      <c r="K832" s="2" t="n"/>
      <c r="L832" s="2" t="n"/>
      <c r="M832" s="2" t="n"/>
      <c r="N832" s="2" t="n"/>
      <c r="O832" s="2" t="n"/>
      <c r="P832" s="2" t="inlineStr">
        <is>
          <t>LISTED</t>
        </is>
      </c>
      <c r="Q832" s="2" t="n"/>
      <c r="R832" s="2" t="n"/>
      <c r="S832" s="2" t="n">
        <v>33.58758965364501</v>
      </c>
      <c r="T832" s="2" t="n">
        <v>-7.635125850579564</v>
      </c>
      <c r="U832" s="3" t="n">
        <v>34230</v>
      </c>
      <c r="V832" s="2" t="inlineStr"/>
      <c r="W832" s="6" t="inlineStr">
        <is>
          <t>https://yakeey.com/fr-ma/achat/biens/178031</t>
        </is>
      </c>
    </row>
    <row r="833">
      <c r="A833" t="inlineStr">
        <is>
          <t>178075</t>
        </is>
      </c>
      <c r="B833" t="inlineStr">
        <is>
          <t>COMMERCIAL_BUILDING</t>
        </is>
      </c>
      <c r="C833" t="inlineStr">
        <is>
          <t>Palmier (Maarif)</t>
        </is>
      </c>
      <c r="D833" t="inlineStr">
        <is>
          <t>Casablanca</t>
        </is>
      </c>
      <c r="E833" s="7" t="n">
        <v>7110000</v>
      </c>
      <c r="F833" s="8" t="n">
        <v>237</v>
      </c>
      <c r="G833" s="8" t="n"/>
      <c r="H833" s="8" t="n"/>
      <c r="I833" s="9">
        <f>IFERROR(E833/F833,"")</f>
        <v/>
      </c>
      <c r="P833" t="inlineStr">
        <is>
          <t>LISTED</t>
        </is>
      </c>
      <c r="S833" t="n">
        <v>33.58218777383428</v>
      </c>
      <c r="T833" t="n">
        <v>-7.629809492739108</v>
      </c>
      <c r="U833" s="7" t="n">
        <v>40904</v>
      </c>
      <c r="V833" t="inlineStr"/>
      <c r="W833" s="10" t="inlineStr">
        <is>
          <t>https://yakeey.com/fr-ma/achat/biens/178075</t>
        </is>
      </c>
    </row>
    <row r="834">
      <c r="A834" s="2" t="inlineStr">
        <is>
          <t>178580</t>
        </is>
      </c>
      <c r="B834" s="2" t="inlineStr">
        <is>
          <t>COMMERCIAL_BUILDING</t>
        </is>
      </c>
      <c r="C834" s="2" t="inlineStr">
        <is>
          <t>Racine</t>
        </is>
      </c>
      <c r="D834" s="2" t="inlineStr">
        <is>
          <t>Casablanca</t>
        </is>
      </c>
      <c r="E834" s="3" t="n">
        <v>950000</v>
      </c>
      <c r="F834" s="4" t="n">
        <v>122</v>
      </c>
      <c r="G834" s="4" t="n"/>
      <c r="H834" s="4" t="n"/>
      <c r="I834" s="5">
        <f>IFERROR(E834/F834,"")</f>
        <v/>
      </c>
      <c r="J834" s="2" t="n"/>
      <c r="K834" s="2" t="n"/>
      <c r="L834" s="2" t="n"/>
      <c r="M834" s="2" t="n"/>
      <c r="N834" s="2" t="n"/>
      <c r="O834" s="2" t="n"/>
      <c r="P834" s="2" t="inlineStr">
        <is>
          <t>LISTED</t>
        </is>
      </c>
      <c r="Q834" s="2" t="n"/>
      <c r="R834" s="2" t="n"/>
      <c r="S834" s="2" t="n">
        <v>33.59329643673743</v>
      </c>
      <c r="T834" s="2" t="n">
        <v>-7.64909826404199</v>
      </c>
      <c r="U834" s="3" t="n">
        <v>5465</v>
      </c>
      <c r="V834" s="2" t="inlineStr"/>
      <c r="W834" s="6" t="inlineStr">
        <is>
          <t>https://yakeey.com/fr-ma/achat/biens/178580</t>
        </is>
      </c>
    </row>
    <row r="835">
      <c r="A835" t="inlineStr">
        <is>
          <t>179504</t>
        </is>
      </c>
      <c r="B835" t="inlineStr">
        <is>
          <t>COMMERCIAL_BUILDING</t>
        </is>
      </c>
      <c r="C835" t="inlineStr">
        <is>
          <t>Californie</t>
        </is>
      </c>
      <c r="D835" t="inlineStr">
        <is>
          <t>Casablanca</t>
        </is>
      </c>
      <c r="E835" s="7" t="n">
        <v>1500000</v>
      </c>
      <c r="F835" s="8" t="n">
        <v>105</v>
      </c>
      <c r="G835" s="8" t="n"/>
      <c r="H835" s="8" t="n"/>
      <c r="I835" s="9">
        <f>IFERROR(E835/F835,"")</f>
        <v/>
      </c>
      <c r="P835" t="inlineStr">
        <is>
          <t>LISTED</t>
        </is>
      </c>
      <c r="S835" t="n">
        <v>33.54410754572657</v>
      </c>
      <c r="T835" t="n">
        <v>-7.615273917113314</v>
      </c>
      <c r="U835" s="7" t="n">
        <v>8629</v>
      </c>
      <c r="V835" t="inlineStr"/>
      <c r="W835" s="10" t="inlineStr">
        <is>
          <t>https://yakeey.com/fr-ma/achat/biens/179504</t>
        </is>
      </c>
    </row>
    <row r="836">
      <c r="A836" s="2" t="inlineStr">
        <is>
          <t>17971</t>
        </is>
      </c>
      <c r="B836" s="2" t="inlineStr">
        <is>
          <t>COMMERCIAL_BUILDING</t>
        </is>
      </c>
      <c r="C836" s="2" t="inlineStr">
        <is>
          <t>Bourgogne (Anfa)</t>
        </is>
      </c>
      <c r="D836" s="2" t="inlineStr">
        <is>
          <t>Casablanca</t>
        </is>
      </c>
      <c r="E836" s="3" t="n">
        <v>19500000</v>
      </c>
      <c r="F836" s="4" t="n">
        <v>586</v>
      </c>
      <c r="G836" s="4" t="n"/>
      <c r="H836" s="4" t="n"/>
      <c r="I836" s="5">
        <f>IFERROR(E836/F836,"")</f>
        <v/>
      </c>
      <c r="J836" s="2" t="n"/>
      <c r="K836" s="2" t="n"/>
      <c r="L836" s="2" t="n"/>
      <c r="M836" s="2" t="n"/>
      <c r="N836" s="2" t="n"/>
      <c r="O836" s="2" t="n"/>
      <c r="P836" s="2" t="inlineStr">
        <is>
          <t>LISTED</t>
        </is>
      </c>
      <c r="Q836" s="2" t="n"/>
      <c r="R836" s="2" t="n"/>
      <c r="S836" s="2" t="n">
        <v>33.59384151741934</v>
      </c>
      <c r="T836" s="2" t="n">
        <v>-7.638811926986561</v>
      </c>
      <c r="U836" s="3" t="n">
        <v>112184</v>
      </c>
      <c r="V836" s="2" t="inlineStr"/>
      <c r="W836" s="6" t="inlineStr">
        <is>
          <t>https://yakeey.com/fr-ma/achat/biens/17971</t>
        </is>
      </c>
    </row>
    <row r="837">
      <c r="A837" t="inlineStr">
        <is>
          <t>183305</t>
        </is>
      </c>
      <c r="B837" t="inlineStr">
        <is>
          <t>COMMERCIAL_BUILDING</t>
        </is>
      </c>
      <c r="C837" t="inlineStr">
        <is>
          <t>Les Princesses</t>
        </is>
      </c>
      <c r="D837" t="inlineStr">
        <is>
          <t>Casablanca</t>
        </is>
      </c>
      <c r="E837" s="7" t="n">
        <v>8590000</v>
      </c>
      <c r="F837" s="8" t="n">
        <v>414</v>
      </c>
      <c r="G837" s="8" t="n"/>
      <c r="H837" s="8" t="n"/>
      <c r="I837" s="9">
        <f>IFERROR(E837/F837,"")</f>
        <v/>
      </c>
      <c r="P837" t="inlineStr">
        <is>
          <t>LISTED</t>
        </is>
      </c>
      <c r="S837" t="n">
        <v>33.57764692157134</v>
      </c>
      <c r="T837" t="n">
        <v>-7.654138510176483</v>
      </c>
      <c r="U837" s="7" t="n">
        <v>49418</v>
      </c>
      <c r="V837" t="inlineStr"/>
      <c r="W837" s="10" t="inlineStr">
        <is>
          <t>https://yakeey.com/fr-ma/achat/biens/183305</t>
        </is>
      </c>
    </row>
    <row r="838">
      <c r="A838" s="2" t="inlineStr">
        <is>
          <t>184129</t>
        </is>
      </c>
      <c r="B838" s="2" t="inlineStr">
        <is>
          <t>COMMERCIAL_BUILDING</t>
        </is>
      </c>
      <c r="C838" s="2" t="inlineStr">
        <is>
          <t>Racine</t>
        </is>
      </c>
      <c r="D838" s="2" t="inlineStr">
        <is>
          <t>Casablanca</t>
        </is>
      </c>
      <c r="E838" s="3" t="n">
        <v>7800000</v>
      </c>
      <c r="F838" s="4" t="n">
        <v>253</v>
      </c>
      <c r="G838" s="4" t="n"/>
      <c r="H838" s="4" t="n"/>
      <c r="I838" s="5">
        <f>IFERROR(E838/F838,"")</f>
        <v/>
      </c>
      <c r="J838" s="2" t="n"/>
      <c r="K838" s="2" t="n"/>
      <c r="L838" s="2" t="n"/>
      <c r="M838" s="2" t="n"/>
      <c r="N838" s="2" t="n"/>
      <c r="O838" s="2" t="n"/>
      <c r="P838" s="2" t="inlineStr">
        <is>
          <t>LISTED</t>
        </is>
      </c>
      <c r="Q838" s="2" t="n"/>
      <c r="R838" s="2" t="n"/>
      <c r="S838" s="2" t="n">
        <v>33.58728445242978</v>
      </c>
      <c r="T838" s="2" t="n">
        <v>-7.640963122391979</v>
      </c>
      <c r="U838" s="3" t="n">
        <v>44873</v>
      </c>
      <c r="V838" s="2" t="inlineStr"/>
      <c r="W838" s="6" t="inlineStr">
        <is>
          <t>https://yakeey.com/fr-ma/achat/biens/184129</t>
        </is>
      </c>
    </row>
    <row r="839">
      <c r="A839" t="inlineStr">
        <is>
          <t>18502</t>
        </is>
      </c>
      <c r="B839" t="inlineStr">
        <is>
          <t>COMMERCIAL_BUILDING</t>
        </is>
      </c>
      <c r="C839" t="inlineStr">
        <is>
          <t>Mers Sultan</t>
        </is>
      </c>
      <c r="D839" t="inlineStr">
        <is>
          <t>Casablanca</t>
        </is>
      </c>
      <c r="E839" s="7" t="n">
        <v>1385000</v>
      </c>
      <c r="F839" s="8" t="n">
        <v>79</v>
      </c>
      <c r="G839" s="8" t="n"/>
      <c r="H839" s="8" t="n"/>
      <c r="I839" s="9">
        <f>IFERROR(E839/F839,"")</f>
        <v/>
      </c>
      <c r="P839" t="inlineStr">
        <is>
          <t>LISTED</t>
        </is>
      </c>
      <c r="S839" t="n">
        <v>33.57231337947736</v>
      </c>
      <c r="T839" t="n">
        <v>-7.611253787260864</v>
      </c>
      <c r="U839" s="7" t="n">
        <v>7967</v>
      </c>
      <c r="V839" t="inlineStr"/>
      <c r="W839" s="10" t="inlineStr">
        <is>
          <t>https://yakeey.com/fr-ma/achat/biens/18502</t>
        </is>
      </c>
    </row>
    <row r="840">
      <c r="A840" s="2" t="inlineStr">
        <is>
          <t>185845</t>
        </is>
      </c>
      <c r="B840" s="2" t="inlineStr">
        <is>
          <t>COMMERCIAL_BUILDING</t>
        </is>
      </c>
      <c r="C840" s="2" t="inlineStr">
        <is>
          <t>Palmier (Maarif)</t>
        </is>
      </c>
      <c r="D840" s="2" t="inlineStr">
        <is>
          <t>Casablanca</t>
        </is>
      </c>
      <c r="E840" s="3" t="n">
        <v>1250000</v>
      </c>
      <c r="F840" s="4" t="n">
        <v>210</v>
      </c>
      <c r="G840" s="4" t="n"/>
      <c r="H840" s="4" t="n"/>
      <c r="I840" s="5">
        <f>IFERROR(E840/F840,"")</f>
        <v/>
      </c>
      <c r="J840" s="2" t="n"/>
      <c r="K840" s="2" t="n"/>
      <c r="L840" s="2" t="n"/>
      <c r="M840" s="2" t="n"/>
      <c r="N840" s="2" t="n"/>
      <c r="O840" s="2" t="n"/>
      <c r="P840" s="2" t="inlineStr">
        <is>
          <t>LISTED</t>
        </is>
      </c>
      <c r="Q840" s="2" t="n"/>
      <c r="R840" s="2" t="n"/>
      <c r="S840" s="2" t="n">
        <v>33.58026676692409</v>
      </c>
      <c r="T840" s="2" t="n">
        <v>-7.627568318159583</v>
      </c>
      <c r="U840" s="3" t="n">
        <v>7191</v>
      </c>
      <c r="V840" s="2" t="inlineStr"/>
      <c r="W840" s="6" t="inlineStr">
        <is>
          <t>https://yakeey.com/fr-ma/achat/biens/185845</t>
        </is>
      </c>
    </row>
    <row r="841">
      <c r="A841" t="inlineStr">
        <is>
          <t>185855</t>
        </is>
      </c>
      <c r="B841" t="inlineStr">
        <is>
          <t>COMMERCIAL_BUILDING</t>
        </is>
      </c>
      <c r="C841" t="inlineStr">
        <is>
          <t>Maarif</t>
        </is>
      </c>
      <c r="D841" t="inlineStr">
        <is>
          <t>Casablanca</t>
        </is>
      </c>
      <c r="E841" s="7" t="n">
        <v>4800000</v>
      </c>
      <c r="F841" s="8" t="n">
        <v>159</v>
      </c>
      <c r="G841" s="8" t="n"/>
      <c r="H841" s="8" t="n"/>
      <c r="I841" s="9">
        <f>IFERROR(E841/F841,"")</f>
        <v/>
      </c>
      <c r="P841" t="inlineStr">
        <is>
          <t>LISTED</t>
        </is>
      </c>
      <c r="S841" t="n">
        <v>33.57997926380107</v>
      </c>
      <c r="T841" t="n">
        <v>-7.647000893955829</v>
      </c>
      <c r="U841" s="7" t="n">
        <v>27614</v>
      </c>
      <c r="V841" t="inlineStr"/>
      <c r="W841" s="10" t="inlineStr">
        <is>
          <t>https://yakeey.com/fr-ma/achat/biens/185855</t>
        </is>
      </c>
    </row>
    <row r="842">
      <c r="A842" s="2" t="inlineStr">
        <is>
          <t>186577</t>
        </is>
      </c>
      <c r="B842" s="2" t="inlineStr">
        <is>
          <t>COMMERCIAL_BUILDING</t>
        </is>
      </c>
      <c r="C842" s="2" t="inlineStr">
        <is>
          <t>Palmier (Maarif)</t>
        </is>
      </c>
      <c r="D842" s="2" t="inlineStr">
        <is>
          <t>Casablanca</t>
        </is>
      </c>
      <c r="E842" s="3" t="n">
        <v>3800000</v>
      </c>
      <c r="F842" s="4" t="n">
        <v>283</v>
      </c>
      <c r="G842" s="4" t="n"/>
      <c r="H842" s="4" t="n"/>
      <c r="I842" s="5">
        <f>IFERROR(E842/F842,"")</f>
        <v/>
      </c>
      <c r="J842" s="2" t="n"/>
      <c r="K842" s="2" t="n"/>
      <c r="L842" s="2" t="n"/>
      <c r="M842" s="2" t="n"/>
      <c r="N842" s="2" t="n"/>
      <c r="O842" s="2" t="n"/>
      <c r="P842" s="2" t="inlineStr">
        <is>
          <t>LISTED</t>
        </is>
      </c>
      <c r="Q842" s="2" t="n"/>
      <c r="R842" s="2" t="n"/>
      <c r="S842" s="2" t="n">
        <v>33.58239212299422</v>
      </c>
      <c r="T842" s="2" t="n">
        <v>-7.631196828960189</v>
      </c>
      <c r="U842" s="3" t="n">
        <v>21861</v>
      </c>
      <c r="V842" s="2" t="inlineStr"/>
      <c r="W842" s="6" t="inlineStr">
        <is>
          <t>https://yakeey.com/fr-ma/achat/biens/186577</t>
        </is>
      </c>
    </row>
    <row r="843">
      <c r="A843" t="inlineStr">
        <is>
          <t>18692</t>
        </is>
      </c>
      <c r="B843" t="inlineStr">
        <is>
          <t>COMMERCIAL_BUILDING</t>
        </is>
      </c>
      <c r="C843" t="inlineStr">
        <is>
          <t>Ouled Ziane</t>
        </is>
      </c>
      <c r="D843" t="inlineStr">
        <is>
          <t>Casablanca</t>
        </is>
      </c>
      <c r="E843" s="7" t="n">
        <v>5000000</v>
      </c>
      <c r="F843" s="8" t="n">
        <v>232</v>
      </c>
      <c r="G843" s="8" t="n"/>
      <c r="H843" s="8" t="n"/>
      <c r="I843" s="9">
        <f>IFERROR(E843/F843,"")</f>
        <v/>
      </c>
      <c r="P843" t="inlineStr">
        <is>
          <t>LISTED</t>
        </is>
      </c>
      <c r="S843" t="n">
        <v>33.57315927514721</v>
      </c>
      <c r="T843" t="n">
        <v>-7.590786361708394</v>
      </c>
      <c r="U843" s="7" t="n">
        <v>28765</v>
      </c>
      <c r="V843" t="inlineStr"/>
      <c r="W843" s="10" t="inlineStr">
        <is>
          <t>https://yakeey.com/fr-ma/achat/biens/18692</t>
        </is>
      </c>
    </row>
    <row r="844">
      <c r="A844" s="2" t="inlineStr">
        <is>
          <t>187869</t>
        </is>
      </c>
      <c r="B844" s="2" t="inlineStr">
        <is>
          <t>COMMERCIAL_BUILDING</t>
        </is>
      </c>
      <c r="C844" s="2" t="inlineStr">
        <is>
          <t>Sidi Bernoussi</t>
        </is>
      </c>
      <c r="D844" s="2" t="inlineStr">
        <is>
          <t>Casablanca</t>
        </is>
      </c>
      <c r="E844" s="3" t="n">
        <v>950000</v>
      </c>
      <c r="F844" s="4" t="n">
        <v>100</v>
      </c>
      <c r="G844" s="4" t="n"/>
      <c r="H844" s="4" t="n"/>
      <c r="I844" s="5">
        <f>IFERROR(E844/F844,"")</f>
        <v/>
      </c>
      <c r="J844" s="2" t="n"/>
      <c r="K844" s="2" t="n"/>
      <c r="L844" s="2" t="n"/>
      <c r="M844" s="2" t="n"/>
      <c r="N844" s="2" t="n"/>
      <c r="O844" s="2" t="n"/>
      <c r="P844" s="2" t="inlineStr">
        <is>
          <t>PROCESSING</t>
        </is>
      </c>
      <c r="Q844" s="2" t="n"/>
      <c r="R844" s="2" t="n"/>
      <c r="S844" s="2" t="n">
        <v>33.61283029119074</v>
      </c>
      <c r="T844" s="2" t="n">
        <v>-7.493946992507618</v>
      </c>
      <c r="U844" s="3" t="n">
        <v>5465</v>
      </c>
      <c r="V844" s="2" t="inlineStr"/>
      <c r="W844" s="6" t="inlineStr">
        <is>
          <t>https://yakeey.com/fr-ma/achat/biens/187869</t>
        </is>
      </c>
    </row>
    <row r="845">
      <c r="A845" t="inlineStr">
        <is>
          <t>188715</t>
        </is>
      </c>
      <c r="B845" t="inlineStr">
        <is>
          <t>COMMERCIAL_BUILDING</t>
        </is>
      </c>
      <c r="C845" t="inlineStr">
        <is>
          <t>Sidi Moumen</t>
        </is>
      </c>
      <c r="D845" t="inlineStr">
        <is>
          <t>Casablanca</t>
        </is>
      </c>
      <c r="E845" s="7" t="n">
        <v>1420000</v>
      </c>
      <c r="F845" s="8" t="n">
        <v>170</v>
      </c>
      <c r="G845" s="8" t="n"/>
      <c r="H845" s="8" t="n"/>
      <c r="I845" s="9">
        <f>IFERROR(E845/F845,"")</f>
        <v/>
      </c>
      <c r="P845" t="inlineStr">
        <is>
          <t>PROCESSING</t>
        </is>
      </c>
      <c r="S845" t="n">
        <v>33.59220702483115</v>
      </c>
      <c r="T845" t="n">
        <v>-7.524576350824555</v>
      </c>
      <c r="U845" s="7" t="n">
        <v>8169</v>
      </c>
      <c r="V845" t="inlineStr"/>
      <c r="W845" s="10" t="inlineStr">
        <is>
          <t>https://yakeey.com/fr-ma/achat/biens/188715</t>
        </is>
      </c>
    </row>
    <row r="846">
      <c r="A846" s="2" t="inlineStr">
        <is>
          <t>188917</t>
        </is>
      </c>
      <c r="B846" s="2" t="inlineStr">
        <is>
          <t>COMMERCIAL_BUILDING</t>
        </is>
      </c>
      <c r="C846" s="2" t="inlineStr">
        <is>
          <t>Lissasfa</t>
        </is>
      </c>
      <c r="D846" s="2" t="inlineStr">
        <is>
          <t>Casablanca</t>
        </is>
      </c>
      <c r="E846" s="3" t="n">
        <v>1350000</v>
      </c>
      <c r="F846" s="4" t="n">
        <v>160</v>
      </c>
      <c r="G846" s="4" t="n"/>
      <c r="H846" s="4" t="n"/>
      <c r="I846" s="5">
        <f>IFERROR(E846/F846,"")</f>
        <v/>
      </c>
      <c r="J846" s="2" t="n"/>
      <c r="K846" s="2" t="n"/>
      <c r="L846" s="2" t="n"/>
      <c r="M846" s="2" t="n"/>
      <c r="N846" s="2" t="n"/>
      <c r="O846" s="2" t="n"/>
      <c r="P846" s="2" t="inlineStr">
        <is>
          <t>PROCESSING</t>
        </is>
      </c>
      <c r="Q846" s="2" t="n"/>
      <c r="R846" s="2" t="n"/>
      <c r="S846" s="2" t="n">
        <v>33.53707727847102</v>
      </c>
      <c r="T846" s="2" t="n">
        <v>-7.672976618470814</v>
      </c>
      <c r="U846" s="3" t="n">
        <v>7766</v>
      </c>
      <c r="V846" s="2" t="inlineStr"/>
      <c r="W846" s="6" t="inlineStr">
        <is>
          <t>https://yakeey.com/fr-ma/achat/biens/188917</t>
        </is>
      </c>
    </row>
    <row r="847">
      <c r="A847" t="inlineStr">
        <is>
          <t>189650</t>
        </is>
      </c>
      <c r="B847" t="inlineStr">
        <is>
          <t>COMMERCIAL_BUILDING</t>
        </is>
      </c>
      <c r="C847" t="inlineStr">
        <is>
          <t>Triangle D'Or</t>
        </is>
      </c>
      <c r="D847" t="inlineStr">
        <is>
          <t>Casablanca</t>
        </is>
      </c>
      <c r="E847" s="7" t="n">
        <v>6280000</v>
      </c>
      <c r="F847" s="8" t="n">
        <v>92</v>
      </c>
      <c r="G847" s="8" t="n"/>
      <c r="H847" s="8" t="n"/>
      <c r="I847" s="9">
        <f>IFERROR(E847/F847,"")</f>
        <v/>
      </c>
      <c r="P847" t="inlineStr">
        <is>
          <t>LISTED</t>
        </is>
      </c>
      <c r="S847" t="n">
        <v>33.586432224959</v>
      </c>
      <c r="T847" t="n">
        <v>-7.640609842293937</v>
      </c>
      <c r="U847" s="7" t="n">
        <v>36129</v>
      </c>
      <c r="V847" t="inlineStr"/>
      <c r="W847" s="10" t="inlineStr">
        <is>
          <t>https://yakeey.com/fr-ma/achat/biens/189650</t>
        </is>
      </c>
    </row>
    <row r="848">
      <c r="A848" s="2" t="inlineStr">
        <is>
          <t>189979</t>
        </is>
      </c>
      <c r="B848" s="2" t="inlineStr">
        <is>
          <t>COMMERCIAL_BUILDING</t>
        </is>
      </c>
      <c r="C848" s="2" t="inlineStr">
        <is>
          <t>Quartier Tsf</t>
        </is>
      </c>
      <c r="D848" s="2" t="inlineStr">
        <is>
          <t>Casablanca</t>
        </is>
      </c>
      <c r="E848" s="3" t="n">
        <v>3500000</v>
      </c>
      <c r="F848" s="4" t="n">
        <v>217</v>
      </c>
      <c r="G848" s="4" t="n"/>
      <c r="H848" s="4" t="n"/>
      <c r="I848" s="5">
        <f>IFERROR(E848/F848,"")</f>
        <v/>
      </c>
      <c r="J848" s="2" t="n"/>
      <c r="K848" s="2" t="n"/>
      <c r="L848" s="2" t="n"/>
      <c r="M848" s="2" t="n"/>
      <c r="N848" s="2" t="n"/>
      <c r="O848" s="2" t="n"/>
      <c r="P848" s="2" t="inlineStr">
        <is>
          <t>SUBMITTED</t>
        </is>
      </c>
      <c r="Q848" s="2" t="n"/>
      <c r="R848" s="2" t="n"/>
      <c r="S848" s="2" t="n">
        <v>33.60183426311831</v>
      </c>
      <c r="T848" s="2" t="n">
        <v>-7.635479982036991</v>
      </c>
      <c r="U848" s="3" t="n">
        <v>20135</v>
      </c>
      <c r="V848" s="2" t="inlineStr"/>
      <c r="W848" s="6" t="inlineStr">
        <is>
          <t>https://yakeey.com/fr-ma/achat/biens/189979</t>
        </is>
      </c>
    </row>
    <row r="849">
      <c r="A849" t="inlineStr">
        <is>
          <t>19989</t>
        </is>
      </c>
      <c r="B849" t="inlineStr">
        <is>
          <t>COMMERCIAL_BUILDING</t>
        </is>
      </c>
      <c r="C849" t="inlineStr">
        <is>
          <t>Ain Sebaa</t>
        </is>
      </c>
      <c r="D849" t="inlineStr">
        <is>
          <t>Casablanca</t>
        </is>
      </c>
      <c r="E849" s="7" t="n">
        <v>22406000</v>
      </c>
      <c r="F849" s="8" t="n">
        <v>2636</v>
      </c>
      <c r="G849" s="8" t="n"/>
      <c r="H849" s="8" t="n"/>
      <c r="I849" s="9">
        <f>IFERROR(E849/F849,"")</f>
        <v/>
      </c>
      <c r="P849" t="inlineStr">
        <is>
          <t>LISTED</t>
        </is>
      </c>
      <c r="S849" t="n">
        <v>33.60184706218653</v>
      </c>
      <c r="T849" t="n">
        <v>-7.542016283722511</v>
      </c>
      <c r="U849" s="7" t="n">
        <v>128903</v>
      </c>
      <c r="V849" t="inlineStr"/>
      <c r="W849" s="10" t="inlineStr">
        <is>
          <t>https://yakeey.com/fr-ma/achat/biens/19989</t>
        </is>
      </c>
    </row>
    <row r="850">
      <c r="A850" s="2" t="inlineStr">
        <is>
          <t>20813</t>
        </is>
      </c>
      <c r="B850" s="2" t="inlineStr">
        <is>
          <t>COMMERCIAL_BUILDING</t>
        </is>
      </c>
      <c r="C850" s="2" t="inlineStr">
        <is>
          <t>Sidi Maarouf</t>
        </is>
      </c>
      <c r="D850" s="2" t="inlineStr">
        <is>
          <t>Casablanca</t>
        </is>
      </c>
      <c r="E850" s="3" t="n">
        <v>1400000</v>
      </c>
      <c r="F850" s="4" t="n">
        <v>135</v>
      </c>
      <c r="G850" s="4" t="n"/>
      <c r="H850" s="4" t="n"/>
      <c r="I850" s="5">
        <f>IFERROR(E850/F850,"")</f>
        <v/>
      </c>
      <c r="J850" s="2" t="n"/>
      <c r="K850" s="2" t="n"/>
      <c r="L850" s="2" t="n"/>
      <c r="M850" s="2" t="n"/>
      <c r="N850" s="2" t="n"/>
      <c r="O850" s="2" t="n"/>
      <c r="P850" s="2" t="inlineStr">
        <is>
          <t>LISTED</t>
        </is>
      </c>
      <c r="Q850" s="2" t="n"/>
      <c r="R850" s="2" t="n"/>
      <c r="S850" s="2" t="n">
        <v>33.51554857781757</v>
      </c>
      <c r="T850" s="2" t="n">
        <v>-7.644242518907578</v>
      </c>
      <c r="U850" s="3" t="n">
        <v>8054</v>
      </c>
      <c r="V850" s="2" t="inlineStr"/>
      <c r="W850" s="6" t="inlineStr">
        <is>
          <t>https://yakeey.com/fr-ma/achat/biens/20813</t>
        </is>
      </c>
    </row>
    <row r="851">
      <c r="A851" t="inlineStr">
        <is>
          <t>21567</t>
        </is>
      </c>
      <c r="B851" t="inlineStr">
        <is>
          <t>COMMERCIAL_BUILDING</t>
        </is>
      </c>
      <c r="C851" t="inlineStr">
        <is>
          <t>Palmier (Maarif)</t>
        </is>
      </c>
      <c r="D851" t="inlineStr">
        <is>
          <t>Casablanca</t>
        </is>
      </c>
      <c r="E851" s="7" t="n">
        <v>1800000</v>
      </c>
      <c r="F851" s="8" t="n">
        <v>86</v>
      </c>
      <c r="G851" s="8" t="n"/>
      <c r="H851" s="8" t="n"/>
      <c r="I851" s="9">
        <f>IFERROR(E851/F851,"")</f>
        <v/>
      </c>
      <c r="P851" t="inlineStr">
        <is>
          <t>LISTED</t>
        </is>
      </c>
      <c r="S851" t="n">
        <v>33.57848917376177</v>
      </c>
      <c r="T851" t="n">
        <v>-7.625822206754495</v>
      </c>
      <c r="U851" s="7" t="n">
        <v>10355</v>
      </c>
      <c r="V851" t="inlineStr"/>
      <c r="W851" s="10" t="inlineStr">
        <is>
          <t>https://yakeey.com/fr-ma/achat/biens/21567</t>
        </is>
      </c>
    </row>
    <row r="852">
      <c r="A852" s="2" t="inlineStr">
        <is>
          <t>23023</t>
        </is>
      </c>
      <c r="B852" s="2" t="inlineStr">
        <is>
          <t>COMMERCIAL_BUILDING</t>
        </is>
      </c>
      <c r="C852" s="2" t="inlineStr">
        <is>
          <t>Maarif</t>
        </is>
      </c>
      <c r="D852" s="2" t="inlineStr">
        <is>
          <t>Casablanca</t>
        </is>
      </c>
      <c r="E852" s="3" t="n">
        <v>1350000</v>
      </c>
      <c r="F852" s="4" t="n">
        <v>64</v>
      </c>
      <c r="G852" s="4" t="n"/>
      <c r="H852" s="4" t="n"/>
      <c r="I852" s="5">
        <f>IFERROR(E852/F852,"")</f>
        <v/>
      </c>
      <c r="J852" s="2" t="n"/>
      <c r="K852" s="2" t="n"/>
      <c r="L852" s="2" t="n"/>
      <c r="M852" s="2" t="n"/>
      <c r="N852" s="2" t="n"/>
      <c r="O852" s="2" t="n"/>
      <c r="P852" s="2" t="inlineStr">
        <is>
          <t>LISTED</t>
        </is>
      </c>
      <c r="Q852" s="2" t="n"/>
      <c r="R852" s="2" t="n"/>
      <c r="S852" s="2" t="n">
        <v>33.58402690218435</v>
      </c>
      <c r="T852" s="2" t="n">
        <v>-7.640282518694651</v>
      </c>
      <c r="U852" s="3" t="n">
        <v>7766</v>
      </c>
      <c r="V852" s="2" t="inlineStr"/>
      <c r="W852" s="6" t="inlineStr">
        <is>
          <t>https://yakeey.com/fr-ma/achat/biens/23023</t>
        </is>
      </c>
    </row>
    <row r="853">
      <c r="A853" t="inlineStr">
        <is>
          <t>24566</t>
        </is>
      </c>
      <c r="B853" t="inlineStr">
        <is>
          <t>COMMERCIAL_BUILDING</t>
        </is>
      </c>
      <c r="C853" t="inlineStr">
        <is>
          <t>Beausejour</t>
        </is>
      </c>
      <c r="D853" t="inlineStr">
        <is>
          <t>Casablanca</t>
        </is>
      </c>
      <c r="E853" s="7" t="n">
        <v>2500000</v>
      </c>
      <c r="F853" s="8" t="n">
        <v>143</v>
      </c>
      <c r="G853" s="8" t="n"/>
      <c r="H853" s="8" t="n"/>
      <c r="I853" s="9">
        <f>IFERROR(E853/F853,"")</f>
        <v/>
      </c>
      <c r="P853" t="inlineStr">
        <is>
          <t>LISTED</t>
        </is>
      </c>
      <c r="S853" t="n">
        <v>33.5658213856196</v>
      </c>
      <c r="T853" t="n">
        <v>-7.647057305046152</v>
      </c>
      <c r="U853" s="7" t="n">
        <v>14382</v>
      </c>
      <c r="V853" t="inlineStr"/>
      <c r="W853" s="10" t="inlineStr">
        <is>
          <t>https://yakeey.com/fr-ma/achat/biens/24566</t>
        </is>
      </c>
    </row>
    <row r="854">
      <c r="A854" s="2" t="inlineStr">
        <is>
          <t>27382</t>
        </is>
      </c>
      <c r="B854" s="2" t="inlineStr">
        <is>
          <t>COMMERCIAL_BUILDING</t>
        </is>
      </c>
      <c r="C854" s="2" t="inlineStr">
        <is>
          <t>Maarif</t>
        </is>
      </c>
      <c r="D854" s="2" t="inlineStr">
        <is>
          <t>Casablanca</t>
        </is>
      </c>
      <c r="E854" s="3" t="n">
        <v>3500000</v>
      </c>
      <c r="F854" s="4" t="n">
        <v>211</v>
      </c>
      <c r="G854" s="4" t="n"/>
      <c r="H854" s="4" t="n"/>
      <c r="I854" s="5">
        <f>IFERROR(E854/F854,"")</f>
        <v/>
      </c>
      <c r="J854" s="2" t="n"/>
      <c r="K854" s="2" t="n"/>
      <c r="L854" s="2" t="n"/>
      <c r="M854" s="2" t="n"/>
      <c r="N854" s="2" t="n"/>
      <c r="O854" s="2" t="n"/>
      <c r="P854" s="2" t="inlineStr">
        <is>
          <t>LISTED</t>
        </is>
      </c>
      <c r="Q854" s="2" t="n"/>
      <c r="R854" s="2" t="n"/>
      <c r="S854" s="2" t="n">
        <v>33.58232961776087</v>
      </c>
      <c r="T854" s="2" t="n">
        <v>-7.639276220143366</v>
      </c>
      <c r="U854" s="3" t="n">
        <v>20135</v>
      </c>
      <c r="V854" s="2" t="inlineStr"/>
      <c r="W854" s="6" t="inlineStr">
        <is>
          <t>https://yakeey.com/fr-ma/achat/biens/27382</t>
        </is>
      </c>
    </row>
    <row r="855">
      <c r="A855" t="inlineStr">
        <is>
          <t>27929</t>
        </is>
      </c>
      <c r="B855" t="inlineStr">
        <is>
          <t>COMMERCIAL_BUILDING</t>
        </is>
      </c>
      <c r="C855" t="inlineStr">
        <is>
          <t>Bourgogne (Anfa)</t>
        </is>
      </c>
      <c r="D855" t="inlineStr">
        <is>
          <t>Casablanca</t>
        </is>
      </c>
      <c r="E855" s="7" t="n">
        <v>3100000</v>
      </c>
      <c r="F855" s="8" t="n">
        <v>104</v>
      </c>
      <c r="G855" s="8" t="n"/>
      <c r="H855" s="8" t="n"/>
      <c r="I855" s="9">
        <f>IFERROR(E855/F855,"")</f>
        <v/>
      </c>
      <c r="P855" t="inlineStr">
        <is>
          <t>LISTED</t>
        </is>
      </c>
      <c r="S855" t="n">
        <v>33.59352910737387</v>
      </c>
      <c r="T855" t="n">
        <v>-7.639316872535169</v>
      </c>
      <c r="U855" s="7" t="n">
        <v>17834</v>
      </c>
      <c r="V855" t="inlineStr"/>
      <c r="W855" s="10" t="inlineStr">
        <is>
          <t>https://yakeey.com/fr-ma/achat/biens/27929</t>
        </is>
      </c>
    </row>
    <row r="856">
      <c r="A856" s="2" t="inlineStr">
        <is>
          <t>30736</t>
        </is>
      </c>
      <c r="B856" s="2" t="inlineStr">
        <is>
          <t>COMMERCIAL_BUILDING</t>
        </is>
      </c>
      <c r="C856" s="2" t="inlineStr">
        <is>
          <t>Cil</t>
        </is>
      </c>
      <c r="D856" s="2" t="inlineStr">
        <is>
          <t>Casablanca</t>
        </is>
      </c>
      <c r="E856" s="3" t="n">
        <v>7500000</v>
      </c>
      <c r="F856" s="4" t="n">
        <v>242</v>
      </c>
      <c r="G856" s="4" t="n"/>
      <c r="H856" s="4" t="n"/>
      <c r="I856" s="5">
        <f>IFERROR(E856/F856,"")</f>
        <v/>
      </c>
      <c r="J856" s="2" t="n"/>
      <c r="K856" s="2" t="n"/>
      <c r="L856" s="2" t="n"/>
      <c r="M856" s="2" t="n"/>
      <c r="N856" s="2" t="n"/>
      <c r="O856" s="2" t="n"/>
      <c r="P856" s="2" t="inlineStr">
        <is>
          <t>LISTED</t>
        </is>
      </c>
      <c r="Q856" s="2" t="n"/>
      <c r="R856" s="2" t="n"/>
      <c r="S856" s="2" t="n">
        <v>33.56672934501113</v>
      </c>
      <c r="T856" s="2" t="n">
        <v>-7.657482652642742</v>
      </c>
      <c r="U856" s="3" t="n">
        <v>43147</v>
      </c>
      <c r="V856" s="2" t="inlineStr"/>
      <c r="W856" s="6" t="inlineStr">
        <is>
          <t>https://yakeey.com/fr-ma/achat/biens/30736</t>
        </is>
      </c>
    </row>
    <row r="857">
      <c r="A857" t="inlineStr">
        <is>
          <t>32635</t>
        </is>
      </c>
      <c r="B857" t="inlineStr">
        <is>
          <t>COMMERCIAL_BUILDING</t>
        </is>
      </c>
      <c r="C857" t="inlineStr">
        <is>
          <t>Racine</t>
        </is>
      </c>
      <c r="D857" t="inlineStr">
        <is>
          <t>Casablanca</t>
        </is>
      </c>
      <c r="E857" s="7" t="n">
        <v>9000000</v>
      </c>
      <c r="F857" s="8" t="n">
        <v>328</v>
      </c>
      <c r="G857" s="8" t="n"/>
      <c r="H857" s="8" t="n"/>
      <c r="I857" s="9">
        <f>IFERROR(E857/F857,"")</f>
        <v/>
      </c>
      <c r="P857" t="inlineStr">
        <is>
          <t>LISTED</t>
        </is>
      </c>
      <c r="S857" t="n">
        <v>33.59550531616759</v>
      </c>
      <c r="T857" t="n">
        <v>-7.652403383216237</v>
      </c>
      <c r="U857" s="7" t="n">
        <v>51777</v>
      </c>
      <c r="V857" t="inlineStr"/>
      <c r="W857" s="10" t="inlineStr">
        <is>
          <t>https://yakeey.com/fr-ma/achat/biens/32635</t>
        </is>
      </c>
    </row>
    <row r="858">
      <c r="A858" s="2" t="inlineStr">
        <is>
          <t>34325</t>
        </is>
      </c>
      <c r="B858" s="2" t="inlineStr">
        <is>
          <t>COMMERCIAL_BUILDING</t>
        </is>
      </c>
      <c r="C858" s="2" t="inlineStr">
        <is>
          <t>Belvedere (Roches Noires)</t>
        </is>
      </c>
      <c r="D858" s="2" t="inlineStr">
        <is>
          <t>Casablanca</t>
        </is>
      </c>
      <c r="E858" s="3" t="n">
        <v>1200000</v>
      </c>
      <c r="F858" s="4" t="n">
        <v>231</v>
      </c>
      <c r="G858" s="4" t="n"/>
      <c r="H858" s="4" t="n"/>
      <c r="I858" s="5">
        <f>IFERROR(E858/F858,"")</f>
        <v/>
      </c>
      <c r="J858" s="2" t="n"/>
      <c r="K858" s="2" t="n"/>
      <c r="L858" s="2" t="n"/>
      <c r="M858" s="2" t="n"/>
      <c r="N858" s="2" t="n"/>
      <c r="O858" s="2" t="n"/>
      <c r="P858" s="2" t="inlineStr">
        <is>
          <t>LISTED</t>
        </is>
      </c>
      <c r="Q858" s="2" t="n"/>
      <c r="R858" s="2" t="n"/>
      <c r="S858" s="2" t="n">
        <v>33.59540752855685</v>
      </c>
      <c r="T858" s="2" t="n">
        <v>-7.59616560837705</v>
      </c>
      <c r="U858" s="3" t="n">
        <v>6903</v>
      </c>
      <c r="V858" s="2" t="inlineStr"/>
      <c r="W858" s="6" t="inlineStr">
        <is>
          <t>https://yakeey.com/fr-ma/achat/biens/34325</t>
        </is>
      </c>
    </row>
    <row r="859">
      <c r="A859" t="inlineStr">
        <is>
          <t>35541</t>
        </is>
      </c>
      <c r="B859" t="inlineStr">
        <is>
          <t>COMMERCIAL_BUILDING</t>
        </is>
      </c>
      <c r="C859" t="inlineStr">
        <is>
          <t>Nouaceur</t>
        </is>
      </c>
      <c r="D859" t="inlineStr">
        <is>
          <t>Nouaceur</t>
        </is>
      </c>
      <c r="E859" s="7" t="n">
        <v>580000</v>
      </c>
      <c r="F859" s="8" t="n">
        <v>36</v>
      </c>
      <c r="G859" s="8" t="n"/>
      <c r="H859" s="8" t="n"/>
      <c r="I859" s="9">
        <f>IFERROR(E859/F859,"")</f>
        <v/>
      </c>
      <c r="P859" t="inlineStr">
        <is>
          <t>LISTED</t>
        </is>
      </c>
      <c r="S859" t="n">
        <v>33.38268296270805</v>
      </c>
      <c r="T859" t="n">
        <v>-7.566817651995208</v>
      </c>
      <c r="U859" s="7" t="n">
        <v>3336</v>
      </c>
      <c r="V859" t="inlineStr"/>
      <c r="W859" s="10" t="inlineStr">
        <is>
          <t>https://yakeey.com/fr-ma/achat/biens/35541</t>
        </is>
      </c>
    </row>
    <row r="860">
      <c r="A860" s="2" t="inlineStr">
        <is>
          <t>36081</t>
        </is>
      </c>
      <c r="B860" s="2" t="inlineStr">
        <is>
          <t>COMMERCIAL_BUILDING</t>
        </is>
      </c>
      <c r="C860" s="2" t="inlineStr">
        <is>
          <t>Ferme Bretonne</t>
        </is>
      </c>
      <c r="D860" s="2" t="inlineStr">
        <is>
          <t>Casablanca</t>
        </is>
      </c>
      <c r="E860" s="3" t="n">
        <v>1150000</v>
      </c>
      <c r="F860" s="4" t="n">
        <v>65</v>
      </c>
      <c r="G860" s="4" t="n"/>
      <c r="H860" s="4" t="n"/>
      <c r="I860" s="5">
        <f>IFERROR(E860/F860,"")</f>
        <v/>
      </c>
      <c r="J860" s="2" t="n"/>
      <c r="K860" s="2" t="n"/>
      <c r="L860" s="2" t="n"/>
      <c r="M860" s="2" t="n"/>
      <c r="N860" s="2" t="n"/>
      <c r="O860" s="2" t="n"/>
      <c r="P860" s="2" t="inlineStr">
        <is>
          <t>LISTED</t>
        </is>
      </c>
      <c r="Q860" s="2" t="n"/>
      <c r="R860" s="2" t="n"/>
      <c r="S860" s="2" t="n">
        <v>33.55526372687595</v>
      </c>
      <c r="T860" s="2" t="n">
        <v>-7.646347322889075</v>
      </c>
      <c r="U860" s="3" t="n">
        <v>6616</v>
      </c>
      <c r="V860" s="2" t="inlineStr"/>
      <c r="W860" s="6" t="inlineStr">
        <is>
          <t>https://yakeey.com/fr-ma/achat/biens/36081</t>
        </is>
      </c>
    </row>
    <row r="861">
      <c r="A861" t="inlineStr">
        <is>
          <t>40083</t>
        </is>
      </c>
      <c r="B861" t="inlineStr">
        <is>
          <t>COMMERCIAL_BUILDING</t>
        </is>
      </c>
      <c r="C861" t="inlineStr">
        <is>
          <t>Racine</t>
        </is>
      </c>
      <c r="D861" t="inlineStr">
        <is>
          <t>Casablanca</t>
        </is>
      </c>
      <c r="E861" s="7" t="n">
        <v>3980000</v>
      </c>
      <c r="F861" s="8" t="n">
        <v>173</v>
      </c>
      <c r="G861" s="8" t="n"/>
      <c r="H861" s="8" t="n"/>
      <c r="I861" s="9">
        <f>IFERROR(E861/F861,"")</f>
        <v/>
      </c>
      <c r="P861" t="inlineStr">
        <is>
          <t>LISTED</t>
        </is>
      </c>
      <c r="S861" t="n">
        <v>33.59179144226002</v>
      </c>
      <c r="T861" t="n">
        <v>-7.63783660942071</v>
      </c>
      <c r="U861" s="7" t="n">
        <v>22897</v>
      </c>
      <c r="V861" t="inlineStr"/>
      <c r="W861" s="10" t="inlineStr">
        <is>
          <t>https://yakeey.com/fr-ma/achat/biens/40083</t>
        </is>
      </c>
    </row>
    <row r="862">
      <c r="A862" s="2" t="inlineStr">
        <is>
          <t>44184</t>
        </is>
      </c>
      <c r="B862" s="2" t="inlineStr">
        <is>
          <t>COMMERCIAL_BUILDING</t>
        </is>
      </c>
      <c r="C862" s="2" t="inlineStr">
        <is>
          <t>Hay Hassani</t>
        </is>
      </c>
      <c r="D862" s="2" t="inlineStr">
        <is>
          <t>Casablanca</t>
        </is>
      </c>
      <c r="E862" s="3" t="n">
        <v>1200000</v>
      </c>
      <c r="F862" s="4" t="n">
        <v>85</v>
      </c>
      <c r="G862" s="4" t="n"/>
      <c r="H862" s="4" t="n"/>
      <c r="I862" s="5">
        <f>IFERROR(E862/F862,"")</f>
        <v/>
      </c>
      <c r="J862" s="2" t="n"/>
      <c r="K862" s="2" t="n"/>
      <c r="L862" s="2" t="n"/>
      <c r="M862" s="2" t="n"/>
      <c r="N862" s="2" t="n"/>
      <c r="O862" s="2" t="n"/>
      <c r="P862" s="2" t="inlineStr">
        <is>
          <t>LISTED</t>
        </is>
      </c>
      <c r="Q862" s="2" t="n"/>
      <c r="R862" s="2" t="n"/>
      <c r="S862" s="2" t="n">
        <v>33.56999709993714</v>
      </c>
      <c r="T862" s="2" t="n">
        <v>-7.676785235933999</v>
      </c>
      <c r="U862" s="3" t="n">
        <v>6903</v>
      </c>
      <c r="V862" s="2" t="inlineStr"/>
      <c r="W862" s="6" t="inlineStr">
        <is>
          <t>https://yakeey.com/fr-ma/achat/biens/44184</t>
        </is>
      </c>
    </row>
    <row r="863">
      <c r="A863" t="inlineStr">
        <is>
          <t>46530</t>
        </is>
      </c>
      <c r="B863" t="inlineStr">
        <is>
          <t>COMMERCIAL_BUILDING</t>
        </is>
      </c>
      <c r="C863" t="inlineStr">
        <is>
          <t>Fida</t>
        </is>
      </c>
      <c r="D863" t="inlineStr">
        <is>
          <t>Casablanca</t>
        </is>
      </c>
      <c r="E863" s="7" t="n">
        <v>2400000</v>
      </c>
      <c r="F863" s="8" t="n">
        <v>119</v>
      </c>
      <c r="G863" s="8" t="n"/>
      <c r="H863" s="8" t="n"/>
      <c r="I863" s="9">
        <f>IFERROR(E863/F863,"")</f>
        <v/>
      </c>
      <c r="P863" t="inlineStr">
        <is>
          <t>LISTED</t>
        </is>
      </c>
      <c r="S863" t="n">
        <v>33.56754396318578</v>
      </c>
      <c r="T863" t="n">
        <v>-7.589960202986994</v>
      </c>
      <c r="U863" s="7" t="n">
        <v>13807</v>
      </c>
      <c r="V863" t="inlineStr"/>
      <c r="W863" s="10" t="inlineStr">
        <is>
          <t>https://yakeey.com/fr-ma/achat/biens/46530</t>
        </is>
      </c>
    </row>
    <row r="864">
      <c r="A864" s="2" t="inlineStr">
        <is>
          <t>47038</t>
        </is>
      </c>
      <c r="B864" s="2" t="inlineStr">
        <is>
          <t>COMMERCIAL_BUILDING</t>
        </is>
      </c>
      <c r="C864" s="2" t="inlineStr">
        <is>
          <t>Florida - Mandarona</t>
        </is>
      </c>
      <c r="D864" s="2" t="inlineStr">
        <is>
          <t>Casablanca</t>
        </is>
      </c>
      <c r="E864" s="3" t="n">
        <v>7100000</v>
      </c>
      <c r="F864" s="4" t="n">
        <v>817</v>
      </c>
      <c r="G864" s="4" t="n"/>
      <c r="H864" s="4" t="n"/>
      <c r="I864" s="5">
        <f>IFERROR(E864/F864,"")</f>
        <v/>
      </c>
      <c r="J864" s="2" t="n"/>
      <c r="K864" s="2" t="n"/>
      <c r="L864" s="2" t="n"/>
      <c r="M864" s="2" t="n"/>
      <c r="N864" s="2" t="n"/>
      <c r="O864" s="2" t="n"/>
      <c r="P864" s="2" t="inlineStr">
        <is>
          <t>LISTED</t>
        </is>
      </c>
      <c r="Q864" s="2" t="n"/>
      <c r="R864" s="2" t="n"/>
      <c r="S864" s="2" t="n">
        <v>33.52905877240225</v>
      </c>
      <c r="T864" s="2" t="n">
        <v>-7.64858041936662</v>
      </c>
      <c r="U864" s="3" t="n">
        <v>40846</v>
      </c>
      <c r="V864" s="2" t="inlineStr"/>
      <c r="W864" s="6" t="inlineStr">
        <is>
          <t>https://yakeey.com/fr-ma/achat/biens/47038</t>
        </is>
      </c>
    </row>
    <row r="865">
      <c r="A865" t="inlineStr">
        <is>
          <t>47042</t>
        </is>
      </c>
      <c r="B865" t="inlineStr">
        <is>
          <t>COMMERCIAL_BUILDING</t>
        </is>
      </c>
      <c r="C865" t="inlineStr">
        <is>
          <t>Sidi Bernoussi</t>
        </is>
      </c>
      <c r="D865" t="inlineStr">
        <is>
          <t>Casablanca</t>
        </is>
      </c>
      <c r="E865" s="7" t="n">
        <v>21500000</v>
      </c>
      <c r="F865" s="8" t="n">
        <v>1101</v>
      </c>
      <c r="G865" s="8" t="n"/>
      <c r="H865" s="8" t="n"/>
      <c r="I865" s="9">
        <f>IFERROR(E865/F865,"")</f>
        <v/>
      </c>
      <c r="P865" t="inlineStr">
        <is>
          <t>LISTED</t>
        </is>
      </c>
      <c r="S865" t="n">
        <v>33.60541595476728</v>
      </c>
      <c r="T865" t="n">
        <v>-7.516516513277686</v>
      </c>
      <c r="U865" s="7" t="n">
        <v>123690</v>
      </c>
      <c r="V865" t="inlineStr"/>
      <c r="W865" s="10" t="inlineStr">
        <is>
          <t>https://yakeey.com/fr-ma/achat/biens/47042</t>
        </is>
      </c>
    </row>
    <row r="866">
      <c r="A866" s="2" t="inlineStr">
        <is>
          <t>47043</t>
        </is>
      </c>
      <c r="B866" s="2" t="inlineStr">
        <is>
          <t>COMMERCIAL_BUILDING</t>
        </is>
      </c>
      <c r="C866" s="2" t="inlineStr">
        <is>
          <t>Aviateur</t>
        </is>
      </c>
      <c r="D866" s="2" t="inlineStr">
        <is>
          <t>Casablanca</t>
        </is>
      </c>
      <c r="E866" s="3" t="n">
        <v>15000000</v>
      </c>
      <c r="F866" s="4" t="n">
        <v>748</v>
      </c>
      <c r="G866" s="4" t="n"/>
      <c r="H866" s="4" t="n"/>
      <c r="I866" s="5">
        <f>IFERROR(E866/F866,"")</f>
        <v/>
      </c>
      <c r="J866" s="2" t="n"/>
      <c r="K866" s="2" t="n"/>
      <c r="L866" s="2" t="n"/>
      <c r="M866" s="2" t="n"/>
      <c r="N866" s="2" t="n"/>
      <c r="O866" s="2" t="n"/>
      <c r="P866" s="2" t="inlineStr">
        <is>
          <t>LISTED</t>
        </is>
      </c>
      <c r="Q866" s="2" t="n"/>
      <c r="R866" s="2" t="n"/>
      <c r="S866" s="2" t="n">
        <v>33.59342244688932</v>
      </c>
      <c r="T866" s="2" t="n">
        <v>-7.613493802137834</v>
      </c>
      <c r="U866" s="3" t="n">
        <v>86295</v>
      </c>
      <c r="V866" s="2" t="inlineStr"/>
      <c r="W866" s="6" t="inlineStr">
        <is>
          <t>https://yakeey.com/fr-ma/achat/biens/47043</t>
        </is>
      </c>
    </row>
    <row r="867">
      <c r="A867" t="inlineStr">
        <is>
          <t>48209</t>
        </is>
      </c>
      <c r="B867" t="inlineStr">
        <is>
          <t>COMMERCIAL_BUILDING</t>
        </is>
      </c>
      <c r="C867" t="inlineStr">
        <is>
          <t>Tamaris1</t>
        </is>
      </c>
      <c r="D867" t="inlineStr">
        <is>
          <t>Dar Bouazza</t>
        </is>
      </c>
      <c r="E867" s="7" t="n">
        <v>25500000</v>
      </c>
      <c r="F867" s="8" t="n">
        <v>1774</v>
      </c>
      <c r="G867" s="8" t="n"/>
      <c r="H867" s="8" t="n"/>
      <c r="I867" s="9">
        <f>IFERROR(E867/F867,"")</f>
        <v/>
      </c>
      <c r="P867" t="inlineStr">
        <is>
          <t>LISTED</t>
        </is>
      </c>
      <c r="S867" t="n">
        <v>33.53386531838498</v>
      </c>
      <c r="T867" t="n">
        <v>-7.783852720003302</v>
      </c>
      <c r="U867" s="7" t="n">
        <v>146703</v>
      </c>
      <c r="V867" t="inlineStr"/>
      <c r="W867" s="10" t="inlineStr">
        <is>
          <t>https://yakeey.com/fr-ma/achat/biens/48209</t>
        </is>
      </c>
    </row>
    <row r="868">
      <c r="A868" s="2" t="inlineStr">
        <is>
          <t>48546</t>
        </is>
      </c>
      <c r="B868" s="2" t="inlineStr">
        <is>
          <t>COMMERCIAL_BUILDING</t>
        </is>
      </c>
      <c r="C868" s="2" t="inlineStr">
        <is>
          <t>Bourgogne (Anfa)</t>
        </is>
      </c>
      <c r="D868" s="2" t="inlineStr">
        <is>
          <t>Casablanca</t>
        </is>
      </c>
      <c r="E868" s="3" t="n">
        <v>3450000</v>
      </c>
      <c r="F868" s="4" t="n">
        <v>446</v>
      </c>
      <c r="G868" s="4" t="n"/>
      <c r="H868" s="4" t="n"/>
      <c r="I868" s="5">
        <f>IFERROR(E868/F868,"")</f>
        <v/>
      </c>
      <c r="J868" s="2" t="n"/>
      <c r="K868" s="2" t="n"/>
      <c r="L868" s="2" t="n"/>
      <c r="M868" s="2" t="n"/>
      <c r="N868" s="2" t="n"/>
      <c r="O868" s="2" t="n"/>
      <c r="P868" s="2" t="inlineStr">
        <is>
          <t>LISTED</t>
        </is>
      </c>
      <c r="Q868" s="2" t="n"/>
      <c r="R868" s="2" t="n"/>
      <c r="S868" s="2" t="n">
        <v>33.59741862612284</v>
      </c>
      <c r="T868" s="2" t="n">
        <v>-7.64157766648739</v>
      </c>
      <c r="U868" s="3" t="n">
        <v>19848</v>
      </c>
      <c r="V868" s="2" t="inlineStr"/>
      <c r="W868" s="6" t="inlineStr">
        <is>
          <t>https://yakeey.com/fr-ma/achat/biens/48546</t>
        </is>
      </c>
    </row>
    <row r="869">
      <c r="A869" t="inlineStr">
        <is>
          <t>50516</t>
        </is>
      </c>
      <c r="B869" t="inlineStr">
        <is>
          <t>COMMERCIAL_BUILDING</t>
        </is>
      </c>
      <c r="C869" t="inlineStr">
        <is>
          <t>Sidi Othmane</t>
        </is>
      </c>
      <c r="D869" t="inlineStr">
        <is>
          <t>Casablanca</t>
        </is>
      </c>
      <c r="E869" s="7" t="n">
        <v>3000000</v>
      </c>
      <c r="F869" s="8" t="n">
        <v>299</v>
      </c>
      <c r="G869" s="8" t="n"/>
      <c r="H869" s="8" t="n"/>
      <c r="I869" s="9">
        <f>IFERROR(E869/F869,"")</f>
        <v/>
      </c>
      <c r="P869" t="inlineStr">
        <is>
          <t>LISTED</t>
        </is>
      </c>
      <c r="S869" t="n">
        <v>33.56267031942506</v>
      </c>
      <c r="T869" t="n">
        <v>-7.55305045872656</v>
      </c>
      <c r="U869" s="7" t="n">
        <v>17259</v>
      </c>
      <c r="V869" t="inlineStr"/>
      <c r="W869" s="10" t="inlineStr">
        <is>
          <t>https://yakeey.com/fr-ma/achat/biens/50516</t>
        </is>
      </c>
    </row>
    <row r="870">
      <c r="A870" s="2" t="inlineStr">
        <is>
          <t>52145</t>
        </is>
      </c>
      <c r="B870" s="2" t="inlineStr">
        <is>
          <t>COMMERCIAL_BUILDING</t>
        </is>
      </c>
      <c r="C870" s="2" t="inlineStr">
        <is>
          <t>Ain Sebaa</t>
        </is>
      </c>
      <c r="D870" s="2" t="inlineStr">
        <is>
          <t>Casablanca</t>
        </is>
      </c>
      <c r="E870" s="3" t="n">
        <v>2507000</v>
      </c>
      <c r="F870" s="4" t="n">
        <v>127</v>
      </c>
      <c r="G870" s="4" t="n"/>
      <c r="H870" s="4" t="n"/>
      <c r="I870" s="5">
        <f>IFERROR(E870/F870,"")</f>
        <v/>
      </c>
      <c r="J870" s="2" t="n"/>
      <c r="K870" s="2" t="n"/>
      <c r="L870" s="2" t="n"/>
      <c r="M870" s="2" t="n"/>
      <c r="N870" s="2" t="n"/>
      <c r="O870" s="2" t="n"/>
      <c r="P870" s="2" t="inlineStr">
        <is>
          <t>LISTED</t>
        </is>
      </c>
      <c r="Q870" s="2" t="n"/>
      <c r="R870" s="2" t="n"/>
      <c r="S870" s="2" t="n">
        <v>33.61698942956882</v>
      </c>
      <c r="T870" s="2" t="n">
        <v>-7.541140560154368</v>
      </c>
      <c r="U870" s="3" t="n">
        <v>14422</v>
      </c>
      <c r="V870" s="2" t="inlineStr"/>
      <c r="W870" s="6" t="inlineStr">
        <is>
          <t>https://yakeey.com/fr-ma/achat/biens/52145</t>
        </is>
      </c>
    </row>
    <row r="871">
      <c r="A871" t="inlineStr">
        <is>
          <t>54828</t>
        </is>
      </c>
      <c r="B871" t="inlineStr">
        <is>
          <t>COMMERCIAL_BUILDING</t>
        </is>
      </c>
      <c r="C871" t="inlineStr">
        <is>
          <t>Maarif Extension</t>
        </is>
      </c>
      <c r="D871" t="inlineStr">
        <is>
          <t>Casablanca</t>
        </is>
      </c>
      <c r="E871" s="7" t="n">
        <v>2300000</v>
      </c>
      <c r="F871" s="8" t="n">
        <v>193</v>
      </c>
      <c r="G871" s="8" t="n"/>
      <c r="H871" s="8" t="n"/>
      <c r="I871" s="9">
        <f>IFERROR(E871/F871,"")</f>
        <v/>
      </c>
      <c r="P871" t="inlineStr">
        <is>
          <t>LISTED</t>
        </is>
      </c>
      <c r="S871" t="n">
        <v>33.58060439946522</v>
      </c>
      <c r="T871" t="n">
        <v>-7.639172400677503</v>
      </c>
      <c r="U871" s="7" t="n">
        <v>13232</v>
      </c>
      <c r="V871" t="inlineStr"/>
      <c r="W871" s="10" t="inlineStr">
        <is>
          <t>https://yakeey.com/fr-ma/achat/biens/54828</t>
        </is>
      </c>
    </row>
    <row r="872">
      <c r="A872" s="2" t="inlineStr">
        <is>
          <t>5520</t>
        </is>
      </c>
      <c r="B872" s="2" t="inlineStr">
        <is>
          <t>COMMERCIAL_BUILDING</t>
        </is>
      </c>
      <c r="C872" s="2" t="inlineStr">
        <is>
          <t>Bourgogne (Sidi Belyout)</t>
        </is>
      </c>
      <c r="D872" s="2" t="inlineStr">
        <is>
          <t>Casablanca</t>
        </is>
      </c>
      <c r="E872" s="3" t="n">
        <v>5200000</v>
      </c>
      <c r="F872" s="4" t="n">
        <v>369</v>
      </c>
      <c r="G872" s="4" t="n"/>
      <c r="H872" s="4" t="n"/>
      <c r="I872" s="5">
        <f>IFERROR(E872/F872,"")</f>
        <v/>
      </c>
      <c r="J872" s="2" t="n"/>
      <c r="K872" s="2" t="n"/>
      <c r="L872" s="2" t="n"/>
      <c r="M872" s="2" t="n"/>
      <c r="N872" s="2" t="n"/>
      <c r="O872" s="2" t="n"/>
      <c r="P872" s="2" t="inlineStr">
        <is>
          <t>LISTED</t>
        </is>
      </c>
      <c r="Q872" s="2" t="n"/>
      <c r="R872" s="2" t="n"/>
      <c r="S872" s="2" t="n">
        <v>33.60134155392134</v>
      </c>
      <c r="T872" s="2" t="n">
        <v>-7.633791712334216</v>
      </c>
      <c r="U872" s="3" t="n">
        <v>29915</v>
      </c>
      <c r="V872" s="2" t="inlineStr"/>
      <c r="W872" s="6" t="inlineStr">
        <is>
          <t>https://yakeey.com/fr-ma/achat/biens/5520</t>
        </is>
      </c>
    </row>
    <row r="873">
      <c r="A873" t="inlineStr">
        <is>
          <t>58279</t>
        </is>
      </c>
      <c r="B873" t="inlineStr">
        <is>
          <t>COMMERCIAL_BUILDING</t>
        </is>
      </c>
      <c r="C873" t="inlineStr">
        <is>
          <t>Liberte</t>
        </is>
      </c>
      <c r="D873" t="inlineStr">
        <is>
          <t>Casablanca</t>
        </is>
      </c>
      <c r="E873" s="7" t="n">
        <v>3870000</v>
      </c>
      <c r="F873" s="8" t="n">
        <v>167</v>
      </c>
      <c r="G873" s="8" t="n"/>
      <c r="H873" s="8" t="n"/>
      <c r="I873" s="9">
        <f>IFERROR(E873/F873,"")</f>
        <v/>
      </c>
      <c r="P873" t="inlineStr">
        <is>
          <t>LISTED</t>
        </is>
      </c>
      <c r="S873" t="n">
        <v>33.58437021963061</v>
      </c>
      <c r="T873" t="n">
        <v>-7.614049334483211</v>
      </c>
      <c r="U873" s="7" t="n">
        <v>22264</v>
      </c>
      <c r="V873" t="inlineStr"/>
      <c r="W873" s="10" t="inlineStr">
        <is>
          <t>https://yakeey.com/fr-ma/achat/biens/58279</t>
        </is>
      </c>
    </row>
    <row r="874">
      <c r="A874" s="2" t="inlineStr">
        <is>
          <t>59771</t>
        </is>
      </c>
      <c r="B874" s="2" t="inlineStr">
        <is>
          <t>COMMERCIAL_BUILDING</t>
        </is>
      </c>
      <c r="C874" s="2" t="inlineStr">
        <is>
          <t>Gauthier</t>
        </is>
      </c>
      <c r="D874" s="2" t="inlineStr">
        <is>
          <t>Casablanca</t>
        </is>
      </c>
      <c r="E874" s="3" t="n">
        <v>5824000</v>
      </c>
      <c r="F874" s="4" t="n">
        <v>182</v>
      </c>
      <c r="G874" s="4" t="n"/>
      <c r="H874" s="4" t="n"/>
      <c r="I874" s="5">
        <f>IFERROR(E874/F874,"")</f>
        <v/>
      </c>
      <c r="J874" s="2" t="n"/>
      <c r="K874" s="2" t="n"/>
      <c r="L874" s="2" t="n"/>
      <c r="M874" s="2" t="n"/>
      <c r="N874" s="2" t="n"/>
      <c r="O874" s="2" t="n"/>
      <c r="P874" s="2" t="inlineStr">
        <is>
          <t>LISTED</t>
        </is>
      </c>
      <c r="Q874" s="2" t="n"/>
      <c r="R874" s="2" t="n"/>
      <c r="S874" s="2" t="n">
        <v>33.59067387534022</v>
      </c>
      <c r="T874" s="2" t="n">
        <v>-7.63215478470992</v>
      </c>
      <c r="U874" s="3" t="n">
        <v>33505</v>
      </c>
      <c r="V874" s="2" t="inlineStr"/>
      <c r="W874" s="6" t="inlineStr">
        <is>
          <t>https://yakeey.com/fr-ma/achat/biens/59771</t>
        </is>
      </c>
    </row>
    <row r="875">
      <c r="A875" t="inlineStr">
        <is>
          <t>61500</t>
        </is>
      </c>
      <c r="B875" t="inlineStr">
        <is>
          <t>COMMERCIAL_BUILDING</t>
        </is>
      </c>
      <c r="C875" t="inlineStr">
        <is>
          <t>Ain Chock</t>
        </is>
      </c>
      <c r="D875" t="inlineStr">
        <is>
          <t>Casablanca</t>
        </is>
      </c>
      <c r="E875" s="7" t="n">
        <v>2000000</v>
      </c>
      <c r="F875" s="8" t="n">
        <v>175</v>
      </c>
      <c r="G875" s="8" t="n"/>
      <c r="H875" s="8" t="n"/>
      <c r="I875" s="9">
        <f>IFERROR(E875/F875,"")</f>
        <v/>
      </c>
      <c r="P875" t="inlineStr">
        <is>
          <t>LISTED</t>
        </is>
      </c>
      <c r="S875" t="n">
        <v>33.53935835654992</v>
      </c>
      <c r="T875" t="n">
        <v>-7.593937799096225</v>
      </c>
      <c r="U875" s="7" t="n">
        <v>11506</v>
      </c>
      <c r="V875" t="inlineStr"/>
      <c r="W875" s="10" t="inlineStr">
        <is>
          <t>https://yakeey.com/fr-ma/achat/biens/61500</t>
        </is>
      </c>
    </row>
    <row r="876">
      <c r="A876" s="2" t="inlineStr">
        <is>
          <t>62002</t>
        </is>
      </c>
      <c r="B876" s="2" t="inlineStr">
        <is>
          <t>COMMERCIAL_BUILDING</t>
        </is>
      </c>
      <c r="C876" s="2" t="inlineStr">
        <is>
          <t>Racine</t>
        </is>
      </c>
      <c r="D876" s="2" t="inlineStr">
        <is>
          <t>Casablanca</t>
        </is>
      </c>
      <c r="E876" s="3" t="n">
        <v>7200000</v>
      </c>
      <c r="F876" s="4" t="n">
        <v>292</v>
      </c>
      <c r="G876" s="4" t="n"/>
      <c r="H876" s="4" t="n"/>
      <c r="I876" s="5">
        <f>IFERROR(E876/F876,"")</f>
        <v/>
      </c>
      <c r="J876" s="2" t="n"/>
      <c r="K876" s="2" t="n"/>
      <c r="L876" s="2" t="n"/>
      <c r="M876" s="2" t="n"/>
      <c r="N876" s="2" t="n"/>
      <c r="O876" s="2" t="n"/>
      <c r="P876" s="2" t="inlineStr">
        <is>
          <t>LISTED</t>
        </is>
      </c>
      <c r="Q876" s="2" t="n"/>
      <c r="R876" s="2" t="n"/>
      <c r="S876" s="2" t="n">
        <v>33.59185272756273</v>
      </c>
      <c r="T876" s="2" t="n">
        <v>-7.637205837106039</v>
      </c>
      <c r="U876" s="3" t="n">
        <v>41422</v>
      </c>
      <c r="V876" s="2" t="inlineStr"/>
      <c r="W876" s="6" t="inlineStr">
        <is>
          <t>https://yakeey.com/fr-ma/achat/biens/62002</t>
        </is>
      </c>
    </row>
    <row r="877">
      <c r="A877" t="inlineStr">
        <is>
          <t>62778</t>
        </is>
      </c>
      <c r="B877" t="inlineStr">
        <is>
          <t>COMMERCIAL_BUILDING</t>
        </is>
      </c>
      <c r="C877" t="inlineStr">
        <is>
          <t>Palmier (Maarif)</t>
        </is>
      </c>
      <c r="D877" t="inlineStr">
        <is>
          <t>Casablanca</t>
        </is>
      </c>
      <c r="E877" s="7" t="n">
        <v>17000000</v>
      </c>
      <c r="F877" s="8" t="n">
        <v>337</v>
      </c>
      <c r="G877" s="8" t="n"/>
      <c r="H877" s="8" t="n"/>
      <c r="I877" s="9">
        <f>IFERROR(E877/F877,"")</f>
        <v/>
      </c>
      <c r="P877" t="inlineStr">
        <is>
          <t>LISTED</t>
        </is>
      </c>
      <c r="S877" t="n">
        <v>33.58102040452211</v>
      </c>
      <c r="T877" t="n">
        <v>-7.630320297589972</v>
      </c>
      <c r="U877" s="7" t="n">
        <v>97802</v>
      </c>
      <c r="V877" t="inlineStr"/>
      <c r="W877" s="10" t="inlineStr">
        <is>
          <t>https://yakeey.com/fr-ma/achat/biens/62778</t>
        </is>
      </c>
    </row>
    <row r="878">
      <c r="A878" s="2" t="inlineStr">
        <is>
          <t>64698</t>
        </is>
      </c>
      <c r="B878" s="2" t="inlineStr">
        <is>
          <t>COMMERCIAL_BUILDING</t>
        </is>
      </c>
      <c r="C878" s="2" t="inlineStr">
        <is>
          <t>Hopitaux</t>
        </is>
      </c>
      <c r="D878" s="2" t="inlineStr">
        <is>
          <t>Casablanca</t>
        </is>
      </c>
      <c r="E878" s="3" t="n">
        <v>18000000</v>
      </c>
      <c r="F878" s="4" t="n">
        <v>1525</v>
      </c>
      <c r="G878" s="4" t="n"/>
      <c r="H878" s="4" t="n"/>
      <c r="I878" s="5">
        <f>IFERROR(E878/F878,"")</f>
        <v/>
      </c>
      <c r="J878" s="2" t="n"/>
      <c r="K878" s="2" t="n"/>
      <c r="L878" s="2" t="n"/>
      <c r="M878" s="2" t="n"/>
      <c r="N878" s="2" t="n"/>
      <c r="O878" s="2" t="n"/>
      <c r="P878" s="2" t="inlineStr">
        <is>
          <t>LISTED</t>
        </is>
      </c>
      <c r="Q878" s="2" t="n"/>
      <c r="R878" s="2" t="n"/>
      <c r="S878" s="2" t="n">
        <v>33.57827894948074</v>
      </c>
      <c r="T878" s="2" t="n">
        <v>-7.624240345533953</v>
      </c>
      <c r="U878" s="3" t="n">
        <v>103555</v>
      </c>
      <c r="V878" s="2" t="inlineStr"/>
      <c r="W878" s="6" t="inlineStr">
        <is>
          <t>https://yakeey.com/fr-ma/achat/biens/64698</t>
        </is>
      </c>
    </row>
    <row r="879">
      <c r="A879" t="inlineStr">
        <is>
          <t>6857</t>
        </is>
      </c>
      <c r="B879" t="inlineStr">
        <is>
          <t>COMMERCIAL_BUILDING</t>
        </is>
      </c>
      <c r="C879" t="inlineStr">
        <is>
          <t>Ain Sebaa</t>
        </is>
      </c>
      <c r="D879" t="inlineStr">
        <is>
          <t>Casablanca</t>
        </is>
      </c>
      <c r="E879" s="7" t="n">
        <v>1600000</v>
      </c>
      <c r="F879" s="8" t="n">
        <v>145</v>
      </c>
      <c r="G879" s="8" t="n"/>
      <c r="H879" s="8" t="n"/>
      <c r="I879" s="9">
        <f>IFERROR(E879/F879,"")</f>
        <v/>
      </c>
      <c r="P879" t="inlineStr">
        <is>
          <t>LISTED</t>
        </is>
      </c>
      <c r="S879" t="n">
        <v>33.60683717791712</v>
      </c>
      <c r="T879" t="n">
        <v>-7.549133522178511</v>
      </c>
      <c r="U879" s="7" t="n">
        <v>9204</v>
      </c>
      <c r="V879" t="inlineStr"/>
      <c r="W879" s="10" t="inlineStr">
        <is>
          <t>https://yakeey.com/fr-ma/achat/biens/6857</t>
        </is>
      </c>
    </row>
    <row r="880">
      <c r="A880" s="2" t="inlineStr">
        <is>
          <t>6907</t>
        </is>
      </c>
      <c r="B880" s="2" t="inlineStr">
        <is>
          <t>COMMERCIAL_BUILDING</t>
        </is>
      </c>
      <c r="C880" s="2" t="inlineStr">
        <is>
          <t>Triangle D'Or</t>
        </is>
      </c>
      <c r="D880" s="2" t="inlineStr">
        <is>
          <t>Casablanca</t>
        </is>
      </c>
      <c r="E880" s="3" t="n">
        <v>4200000</v>
      </c>
      <c r="F880" s="4" t="n">
        <v>197</v>
      </c>
      <c r="G880" s="4" t="n"/>
      <c r="H880" s="4" t="n"/>
      <c r="I880" s="5">
        <f>IFERROR(E880/F880,"")</f>
        <v/>
      </c>
      <c r="J880" s="2" t="n"/>
      <c r="K880" s="2" t="n"/>
      <c r="L880" s="2" t="n"/>
      <c r="M880" s="2" t="n"/>
      <c r="N880" s="2" t="n"/>
      <c r="O880" s="2" t="n"/>
      <c r="P880" s="2" t="inlineStr">
        <is>
          <t>LISTED</t>
        </is>
      </c>
      <c r="Q880" s="2" t="n"/>
      <c r="R880" s="2" t="n"/>
      <c r="S880" s="2" t="n">
        <v>33.58903024789932</v>
      </c>
      <c r="T880" s="2" t="n">
        <v>-7.635333288305481</v>
      </c>
      <c r="U880" s="3" t="n">
        <v>24162</v>
      </c>
      <c r="V880" s="2" t="inlineStr"/>
      <c r="W880" s="6" t="inlineStr">
        <is>
          <t>https://yakeey.com/fr-ma/achat/biens/6907</t>
        </is>
      </c>
    </row>
    <row r="881">
      <c r="A881" t="inlineStr">
        <is>
          <t>69087</t>
        </is>
      </c>
      <c r="B881" t="inlineStr">
        <is>
          <t>COMMERCIAL_BUILDING</t>
        </is>
      </c>
      <c r="C881" t="inlineStr">
        <is>
          <t>Maarif</t>
        </is>
      </c>
      <c r="D881" t="inlineStr">
        <is>
          <t>Casablanca</t>
        </is>
      </c>
      <c r="E881" s="7" t="n">
        <v>2650000</v>
      </c>
      <c r="F881" s="8" t="n">
        <v>200</v>
      </c>
      <c r="G881" s="8" t="n"/>
      <c r="H881" s="8" t="n"/>
      <c r="I881" s="9">
        <f>IFERROR(E881/F881,"")</f>
        <v/>
      </c>
      <c r="P881" t="inlineStr">
        <is>
          <t>LISTED</t>
        </is>
      </c>
      <c r="S881" t="n">
        <v>33.58426814443568</v>
      </c>
      <c r="T881" t="n">
        <v>-7.635610749568701</v>
      </c>
      <c r="U881" s="7" t="n">
        <v>15245</v>
      </c>
      <c r="V881" t="inlineStr"/>
      <c r="W881" s="10" t="inlineStr">
        <is>
          <t>https://yakeey.com/fr-ma/achat/biens/69087</t>
        </is>
      </c>
    </row>
    <row r="882">
      <c r="A882" s="2" t="inlineStr">
        <is>
          <t>69214</t>
        </is>
      </c>
      <c r="B882" s="2" t="inlineStr">
        <is>
          <t>COMMERCIAL_BUILDING</t>
        </is>
      </c>
      <c r="C882" s="2" t="inlineStr">
        <is>
          <t>Oasis</t>
        </is>
      </c>
      <c r="D882" s="2" t="inlineStr">
        <is>
          <t>Casablanca</t>
        </is>
      </c>
      <c r="E882" s="3" t="n">
        <v>3860000</v>
      </c>
      <c r="F882" s="4" t="n">
        <v>125</v>
      </c>
      <c r="G882" s="4" t="n"/>
      <c r="H882" s="4" t="n"/>
      <c r="I882" s="5">
        <f>IFERROR(E882/F882,"")</f>
        <v/>
      </c>
      <c r="J882" s="2" t="n"/>
      <c r="K882" s="2" t="n"/>
      <c r="L882" s="2" t="n"/>
      <c r="M882" s="2" t="n"/>
      <c r="N882" s="2" t="n"/>
      <c r="O882" s="2" t="n"/>
      <c r="P882" s="2" t="inlineStr">
        <is>
          <t>LISTED</t>
        </is>
      </c>
      <c r="Q882" s="2" t="n"/>
      <c r="R882" s="2" t="n"/>
      <c r="S882" s="2" t="n">
        <v>33.56785849285946</v>
      </c>
      <c r="T882" s="2" t="n">
        <v>-7.64404228703983</v>
      </c>
      <c r="U882" s="3" t="n">
        <v>22206</v>
      </c>
      <c r="V882" s="2" t="inlineStr"/>
      <c r="W882" s="6" t="inlineStr">
        <is>
          <t>https://yakeey.com/fr-ma/achat/biens/69214</t>
        </is>
      </c>
    </row>
    <row r="883">
      <c r="A883" t="inlineStr">
        <is>
          <t>70462</t>
        </is>
      </c>
      <c r="B883" t="inlineStr">
        <is>
          <t>COMMERCIAL_BUILDING</t>
        </is>
      </c>
      <c r="C883" t="inlineStr">
        <is>
          <t>Oasis</t>
        </is>
      </c>
      <c r="D883" t="inlineStr">
        <is>
          <t>Casablanca</t>
        </is>
      </c>
      <c r="E883" s="7" t="n">
        <v>3700000</v>
      </c>
      <c r="F883" s="8" t="n">
        <v>144</v>
      </c>
      <c r="G883" s="8" t="n"/>
      <c r="H883" s="8" t="n"/>
      <c r="I883" s="9">
        <f>IFERROR(E883/F883,"")</f>
        <v/>
      </c>
      <c r="P883" t="inlineStr">
        <is>
          <t>LISTED</t>
        </is>
      </c>
      <c r="S883" t="n">
        <v>33.56898178550404</v>
      </c>
      <c r="T883" t="n">
        <v>-7.642723618299785</v>
      </c>
      <c r="U883" s="7" t="n">
        <v>21286</v>
      </c>
      <c r="V883" t="inlineStr"/>
      <c r="W883" s="10" t="inlineStr">
        <is>
          <t>https://yakeey.com/fr-ma/achat/biens/70462</t>
        </is>
      </c>
    </row>
    <row r="884">
      <c r="A884" s="2" t="inlineStr">
        <is>
          <t>71282</t>
        </is>
      </c>
      <c r="B884" s="2" t="inlineStr">
        <is>
          <t>COMMERCIAL_BUILDING</t>
        </is>
      </c>
      <c r="C884" s="2" t="inlineStr">
        <is>
          <t>Beausejour</t>
        </is>
      </c>
      <c r="D884" s="2" t="inlineStr">
        <is>
          <t>Casablanca</t>
        </is>
      </c>
      <c r="E884" s="3" t="n">
        <v>1350000</v>
      </c>
      <c r="F884" s="4" t="n">
        <v>97</v>
      </c>
      <c r="G884" s="4" t="n"/>
      <c r="H884" s="4" t="n"/>
      <c r="I884" s="5">
        <f>IFERROR(E884/F884,"")</f>
        <v/>
      </c>
      <c r="J884" s="2" t="n"/>
      <c r="K884" s="2" t="n"/>
      <c r="L884" s="2" t="n"/>
      <c r="M884" s="2" t="n"/>
      <c r="N884" s="2" t="n"/>
      <c r="O884" s="2" t="n"/>
      <c r="P884" s="2" t="inlineStr">
        <is>
          <t>LISTED</t>
        </is>
      </c>
      <c r="Q884" s="2" t="n"/>
      <c r="R884" s="2" t="n"/>
      <c r="S884" s="2" t="n">
        <v>33.56773279073759</v>
      </c>
      <c r="T884" s="2" t="n">
        <v>-7.652553268930213</v>
      </c>
      <c r="U884" s="3" t="n">
        <v>7766</v>
      </c>
      <c r="V884" s="2" t="inlineStr"/>
      <c r="W884" s="6" t="inlineStr">
        <is>
          <t>https://yakeey.com/fr-ma/achat/biens/71282</t>
        </is>
      </c>
    </row>
    <row r="885">
      <c r="A885" t="inlineStr">
        <is>
          <t>71966</t>
        </is>
      </c>
      <c r="B885" t="inlineStr">
        <is>
          <t>COMMERCIAL_BUILDING</t>
        </is>
      </c>
      <c r="C885" t="inlineStr">
        <is>
          <t>Anfa Superieur</t>
        </is>
      </c>
      <c r="D885" t="inlineStr">
        <is>
          <t>Casablanca</t>
        </is>
      </c>
      <c r="E885" s="7" t="n">
        <v>50000000</v>
      </c>
      <c r="F885" s="8" t="n">
        <v>1130</v>
      </c>
      <c r="G885" s="8" t="n"/>
      <c r="H885" s="8" t="n"/>
      <c r="I885" s="9">
        <f>IFERROR(E885/F885,"")</f>
        <v/>
      </c>
      <c r="P885" t="inlineStr">
        <is>
          <t>LISTED</t>
        </is>
      </c>
      <c r="S885" t="n">
        <v>33.59009641946432</v>
      </c>
      <c r="T885" t="n">
        <v>-7.678171930450686</v>
      </c>
      <c r="U885" s="7" t="n">
        <v>287653</v>
      </c>
      <c r="V885" t="inlineStr"/>
      <c r="W885" s="10" t="inlineStr">
        <is>
          <t>https://yakeey.com/fr-ma/achat/biens/71966</t>
        </is>
      </c>
    </row>
    <row r="886">
      <c r="A886" s="2" t="inlineStr">
        <is>
          <t>72317</t>
        </is>
      </c>
      <c r="B886" s="2" t="inlineStr">
        <is>
          <t>COMMERCIAL_BUILDING</t>
        </is>
      </c>
      <c r="C886" s="2" t="inlineStr">
        <is>
          <t>Racine</t>
        </is>
      </c>
      <c r="D886" s="2" t="inlineStr">
        <is>
          <t>Casablanca</t>
        </is>
      </c>
      <c r="E886" s="3" t="n">
        <v>3800000</v>
      </c>
      <c r="F886" s="4" t="n">
        <v>162</v>
      </c>
      <c r="G886" s="4" t="n"/>
      <c r="H886" s="4" t="n"/>
      <c r="I886" s="5">
        <f>IFERROR(E886/F886,"")</f>
        <v/>
      </c>
      <c r="J886" s="2" t="n"/>
      <c r="K886" s="2" t="n"/>
      <c r="L886" s="2" t="n"/>
      <c r="M886" s="2" t="n"/>
      <c r="N886" s="2" t="n"/>
      <c r="O886" s="2" t="n"/>
      <c r="P886" s="2" t="inlineStr">
        <is>
          <t>LISTED</t>
        </is>
      </c>
      <c r="Q886" s="2" t="n"/>
      <c r="R886" s="2" t="n"/>
      <c r="S886" s="2" t="n">
        <v>33.59015334566887</v>
      </c>
      <c r="T886" s="2" t="n">
        <v>-7.640613558473157</v>
      </c>
      <c r="U886" s="3" t="n">
        <v>21861</v>
      </c>
      <c r="V886" s="2" t="inlineStr"/>
      <c r="W886" s="6" t="inlineStr">
        <is>
          <t>https://yakeey.com/fr-ma/achat/biens/72317</t>
        </is>
      </c>
    </row>
    <row r="887">
      <c r="A887" t="inlineStr">
        <is>
          <t>72319</t>
        </is>
      </c>
      <c r="B887" t="inlineStr">
        <is>
          <t>COMMERCIAL_BUILDING</t>
        </is>
      </c>
      <c r="C887" t="inlineStr">
        <is>
          <t>Liberte</t>
        </is>
      </c>
      <c r="D887" t="inlineStr">
        <is>
          <t>Casablanca</t>
        </is>
      </c>
      <c r="E887" s="7" t="n">
        <v>3500000</v>
      </c>
      <c r="F887" s="8" t="n">
        <v>225</v>
      </c>
      <c r="G887" s="8" t="n"/>
      <c r="H887" s="8" t="n"/>
      <c r="I887" s="9">
        <f>IFERROR(E887/F887,"")</f>
        <v/>
      </c>
      <c r="P887" t="inlineStr">
        <is>
          <t>LISTED</t>
        </is>
      </c>
      <c r="S887" t="n">
        <v>33.58543177357621</v>
      </c>
      <c r="T887" t="n">
        <v>-7.61013530049956</v>
      </c>
      <c r="U887" s="7" t="n">
        <v>20135</v>
      </c>
      <c r="V887" t="inlineStr"/>
      <c r="W887" s="10" t="inlineStr">
        <is>
          <t>https://yakeey.com/fr-ma/achat/biens/72319</t>
        </is>
      </c>
    </row>
    <row r="888">
      <c r="A888" s="2" t="inlineStr">
        <is>
          <t>74828</t>
        </is>
      </c>
      <c r="B888" s="2" t="inlineStr">
        <is>
          <t>COMMERCIAL_BUILDING</t>
        </is>
      </c>
      <c r="C888" s="2" t="inlineStr">
        <is>
          <t>Fadaat Al Mouhit</t>
        </is>
      </c>
      <c r="D888" s="2" t="inlineStr">
        <is>
          <t>Nouaceur</t>
        </is>
      </c>
      <c r="E888" s="3" t="n">
        <v>600000</v>
      </c>
      <c r="F888" s="4" t="n">
        <v>103</v>
      </c>
      <c r="G888" s="4" t="n"/>
      <c r="H888" s="4" t="n"/>
      <c r="I888" s="5">
        <f>IFERROR(E888/F888,"")</f>
        <v/>
      </c>
      <c r="J888" s="2" t="n"/>
      <c r="K888" s="2" t="n"/>
      <c r="L888" s="2" t="n"/>
      <c r="M888" s="2" t="n"/>
      <c r="N888" s="2" t="n"/>
      <c r="O888" s="2" t="n"/>
      <c r="P888" s="2" t="inlineStr">
        <is>
          <t>LISTED</t>
        </is>
      </c>
      <c r="Q888" s="2" t="n"/>
      <c r="R888" s="2" t="n"/>
      <c r="S888" s="2" t="n">
        <v>33.51832362710168</v>
      </c>
      <c r="T888" s="2" t="n">
        <v>-7.784484643021088</v>
      </c>
      <c r="U888" s="3" t="n">
        <v>3451</v>
      </c>
      <c r="V888" s="2" t="inlineStr"/>
      <c r="W888" s="6" t="inlineStr">
        <is>
          <t>https://yakeey.com/fr-ma/achat/biens/74828</t>
        </is>
      </c>
    </row>
    <row r="889">
      <c r="A889" t="inlineStr">
        <is>
          <t>74965</t>
        </is>
      </c>
      <c r="B889" t="inlineStr">
        <is>
          <t>COMMERCIAL_BUILDING</t>
        </is>
      </c>
      <c r="C889" t="inlineStr">
        <is>
          <t>Bouskoura</t>
        </is>
      </c>
      <c r="D889" t="inlineStr">
        <is>
          <t>Bouskoura</t>
        </is>
      </c>
      <c r="E889" s="7" t="n">
        <v>13000000</v>
      </c>
      <c r="F889" s="8" t="n">
        <v>2804</v>
      </c>
      <c r="G889" s="8" t="n"/>
      <c r="H889" s="8" t="n"/>
      <c r="I889" s="9">
        <f>IFERROR(E889/F889,"")</f>
        <v/>
      </c>
      <c r="P889" t="inlineStr">
        <is>
          <t>LISTED</t>
        </is>
      </c>
      <c r="S889" t="n">
        <v>33.4064377048596</v>
      </c>
      <c r="T889" t="n">
        <v>-7.622221647550398</v>
      </c>
      <c r="U889" s="7" t="n">
        <v>74789</v>
      </c>
      <c r="V889" t="inlineStr"/>
      <c r="W889" s="10" t="inlineStr">
        <is>
          <t>https://yakeey.com/fr-ma/achat/biens/74965</t>
        </is>
      </c>
    </row>
    <row r="890">
      <c r="A890" s="2" t="inlineStr">
        <is>
          <t>758</t>
        </is>
      </c>
      <c r="B890" s="2" t="inlineStr">
        <is>
          <t>COMMERCIAL_BUILDING</t>
        </is>
      </c>
      <c r="C890" s="2" t="inlineStr">
        <is>
          <t>Palmier (Maarif)</t>
        </is>
      </c>
      <c r="D890" s="2" t="inlineStr">
        <is>
          <t>Casablanca</t>
        </is>
      </c>
      <c r="E890" s="3" t="n">
        <v>5900000</v>
      </c>
      <c r="F890" s="4" t="n">
        <v>285</v>
      </c>
      <c r="G890" s="4" t="n"/>
      <c r="H890" s="4" t="n"/>
      <c r="I890" s="5">
        <f>IFERROR(E890/F890,"")</f>
        <v/>
      </c>
      <c r="J890" s="2" t="n"/>
      <c r="K890" s="2" t="n"/>
      <c r="L890" s="2" t="n"/>
      <c r="M890" s="2" t="n"/>
      <c r="N890" s="2" t="n"/>
      <c r="O890" s="2" t="n"/>
      <c r="P890" s="2" t="inlineStr">
        <is>
          <t>LISTED</t>
        </is>
      </c>
      <c r="Q890" s="2" t="n"/>
      <c r="R890" s="2" t="n"/>
      <c r="S890" s="2" t="n">
        <v>33.57975387334665</v>
      </c>
      <c r="T890" s="2" t="n">
        <v>-7.636471575639866</v>
      </c>
      <c r="U890" s="3" t="n">
        <v>33943</v>
      </c>
      <c r="V890" s="2" t="inlineStr"/>
      <c r="W890" s="6" t="inlineStr">
        <is>
          <t>https://yakeey.com/fr-ma/achat/biens/758</t>
        </is>
      </c>
    </row>
    <row r="891">
      <c r="A891" t="inlineStr">
        <is>
          <t>77467</t>
        </is>
      </c>
      <c r="B891" t="inlineStr">
        <is>
          <t>COMMERCIAL_BUILDING</t>
        </is>
      </c>
      <c r="C891" t="inlineStr">
        <is>
          <t>Beausejour</t>
        </is>
      </c>
      <c r="D891" t="inlineStr">
        <is>
          <t>Casablanca</t>
        </is>
      </c>
      <c r="E891" s="7" t="n">
        <v>1200000</v>
      </c>
      <c r="F891" s="8" t="n">
        <v>55</v>
      </c>
      <c r="G891" s="8" t="n"/>
      <c r="H891" s="8" t="n"/>
      <c r="I891" s="9">
        <f>IFERROR(E891/F891,"")</f>
        <v/>
      </c>
      <c r="P891" t="inlineStr">
        <is>
          <t>LISTED</t>
        </is>
      </c>
      <c r="S891" t="n">
        <v>33.57021079224518</v>
      </c>
      <c r="T891" t="n">
        <v>-7.647717847178933</v>
      </c>
      <c r="U891" s="7" t="n">
        <v>6903</v>
      </c>
      <c r="V891" t="inlineStr"/>
      <c r="W891" s="10" t="inlineStr">
        <is>
          <t>https://yakeey.com/fr-ma/achat/biens/77467</t>
        </is>
      </c>
    </row>
    <row r="892">
      <c r="A892" s="2" t="inlineStr">
        <is>
          <t>78450</t>
        </is>
      </c>
      <c r="B892" s="2" t="inlineStr">
        <is>
          <t>COMMERCIAL_BUILDING</t>
        </is>
      </c>
      <c r="C892" s="2" t="inlineStr">
        <is>
          <t>Hopitaux</t>
        </is>
      </c>
      <c r="D892" s="2" t="inlineStr">
        <is>
          <t>Casablanca</t>
        </is>
      </c>
      <c r="E892" s="3" t="n">
        <v>4800000</v>
      </c>
      <c r="F892" s="4" t="n">
        <v>210</v>
      </c>
      <c r="G892" s="4" t="n"/>
      <c r="H892" s="4" t="n"/>
      <c r="I892" s="5">
        <f>IFERROR(E892/F892,"")</f>
        <v/>
      </c>
      <c r="J892" s="2" t="n"/>
      <c r="K892" s="2" t="n"/>
      <c r="L892" s="2" t="n"/>
      <c r="M892" s="2" t="n"/>
      <c r="N892" s="2" t="n"/>
      <c r="O892" s="2" t="n"/>
      <c r="P892" s="2" t="inlineStr">
        <is>
          <t>LISTED</t>
        </is>
      </c>
      <c r="Q892" s="2" t="n"/>
      <c r="R892" s="2" t="n"/>
      <c r="S892" s="2" t="n">
        <v>33.56958631991409</v>
      </c>
      <c r="T892" s="2" t="n">
        <v>-7.614027455417294</v>
      </c>
      <c r="U892" s="3" t="n">
        <v>27614</v>
      </c>
      <c r="V892" s="2" t="inlineStr"/>
      <c r="W892" s="6" t="inlineStr">
        <is>
          <t>https://yakeey.com/fr-ma/achat/biens/78450</t>
        </is>
      </c>
    </row>
    <row r="893">
      <c r="A893" t="inlineStr">
        <is>
          <t>78494</t>
        </is>
      </c>
      <c r="B893" t="inlineStr">
        <is>
          <t>COMMERCIAL_BUILDING</t>
        </is>
      </c>
      <c r="C893" t="inlineStr">
        <is>
          <t>Sidi Othmane</t>
        </is>
      </c>
      <c r="D893" t="inlineStr">
        <is>
          <t>Casablanca</t>
        </is>
      </c>
      <c r="E893" s="7" t="n">
        <v>4008000</v>
      </c>
      <c r="F893" s="8" t="n">
        <v>199</v>
      </c>
      <c r="G893" s="8" t="n"/>
      <c r="H893" s="8" t="n"/>
      <c r="I893" s="9">
        <f>IFERROR(E893/F893,"")</f>
        <v/>
      </c>
      <c r="P893" t="inlineStr">
        <is>
          <t>LISTED</t>
        </is>
      </c>
      <c r="S893" t="n">
        <v>33.55492485648076</v>
      </c>
      <c r="T893" t="n">
        <v>-7.558520612241148</v>
      </c>
      <c r="U893" s="7" t="n">
        <v>23058</v>
      </c>
      <c r="V893" t="inlineStr"/>
      <c r="W893" s="10" t="inlineStr">
        <is>
          <t>https://yakeey.com/fr-ma/achat/biens/78494</t>
        </is>
      </c>
    </row>
    <row r="894">
      <c r="A894" s="2" t="inlineStr">
        <is>
          <t>78500</t>
        </is>
      </c>
      <c r="B894" s="2" t="inlineStr">
        <is>
          <t>COMMERCIAL_BUILDING</t>
        </is>
      </c>
      <c r="C894" s="2" t="inlineStr">
        <is>
          <t>Sidi Othmane</t>
        </is>
      </c>
      <c r="D894" s="2" t="inlineStr">
        <is>
          <t>Casablanca</t>
        </is>
      </c>
      <c r="E894" s="3" t="n">
        <v>1500000</v>
      </c>
      <c r="F894" s="4" t="n">
        <v>74</v>
      </c>
      <c r="G894" s="4" t="n"/>
      <c r="H894" s="4" t="n"/>
      <c r="I894" s="5">
        <f>IFERROR(E894/F894,"")</f>
        <v/>
      </c>
      <c r="J894" s="2" t="n"/>
      <c r="K894" s="2" t="n"/>
      <c r="L894" s="2" t="n"/>
      <c r="M894" s="2" t="n"/>
      <c r="N894" s="2" t="n"/>
      <c r="O894" s="2" t="n"/>
      <c r="P894" s="2" t="inlineStr">
        <is>
          <t>LISTED</t>
        </is>
      </c>
      <c r="Q894" s="2" t="n"/>
      <c r="R894" s="2" t="n"/>
      <c r="S894" s="2" t="n">
        <v>33.55590909516116</v>
      </c>
      <c r="T894" s="2" t="n">
        <v>-7.556559881793361</v>
      </c>
      <c r="U894" s="3" t="n">
        <v>8629</v>
      </c>
      <c r="V894" s="2" t="inlineStr"/>
      <c r="W894" s="6" t="inlineStr">
        <is>
          <t>https://yakeey.com/fr-ma/achat/biens/78500</t>
        </is>
      </c>
    </row>
    <row r="895">
      <c r="A895" t="inlineStr">
        <is>
          <t>78504</t>
        </is>
      </c>
      <c r="B895" t="inlineStr">
        <is>
          <t>COMMERCIAL_BUILDING</t>
        </is>
      </c>
      <c r="C895" t="inlineStr">
        <is>
          <t>Sidi Othmane</t>
        </is>
      </c>
      <c r="D895" t="inlineStr">
        <is>
          <t>Casablanca</t>
        </is>
      </c>
      <c r="E895" s="7" t="n">
        <v>3516000</v>
      </c>
      <c r="F895" s="8" t="n">
        <v>160</v>
      </c>
      <c r="G895" s="8" t="n"/>
      <c r="H895" s="8" t="n"/>
      <c r="I895" s="9">
        <f>IFERROR(E895/F895,"")</f>
        <v/>
      </c>
      <c r="P895" t="inlineStr">
        <is>
          <t>LISTED</t>
        </is>
      </c>
      <c r="S895" t="n">
        <v>33.55625257620794</v>
      </c>
      <c r="T895" t="n">
        <v>-7.556955805976112</v>
      </c>
      <c r="U895" s="7" t="n">
        <v>20227</v>
      </c>
      <c r="V895" t="inlineStr"/>
      <c r="W895" s="10" t="inlineStr">
        <is>
          <t>https://yakeey.com/fr-ma/achat/biens/78504</t>
        </is>
      </c>
    </row>
    <row r="896">
      <c r="A896" s="2" t="inlineStr">
        <is>
          <t>78518</t>
        </is>
      </c>
      <c r="B896" s="2" t="inlineStr">
        <is>
          <t>COMMERCIAL_BUILDING</t>
        </is>
      </c>
      <c r="C896" s="2" t="inlineStr">
        <is>
          <t>Sidi Othmane</t>
        </is>
      </c>
      <c r="D896" s="2" t="inlineStr">
        <is>
          <t>Casablanca</t>
        </is>
      </c>
      <c r="E896" s="3" t="n">
        <v>4080000</v>
      </c>
      <c r="F896" s="4" t="n">
        <v>204</v>
      </c>
      <c r="G896" s="4" t="n"/>
      <c r="H896" s="4" t="n"/>
      <c r="I896" s="5">
        <f>IFERROR(E896/F896,"")</f>
        <v/>
      </c>
      <c r="J896" s="2" t="n"/>
      <c r="K896" s="2" t="n"/>
      <c r="L896" s="2" t="n"/>
      <c r="M896" s="2" t="n"/>
      <c r="N896" s="2" t="n"/>
      <c r="O896" s="2" t="n"/>
      <c r="P896" s="2" t="inlineStr">
        <is>
          <t>LISTED</t>
        </is>
      </c>
      <c r="Q896" s="2" t="n"/>
      <c r="R896" s="2" t="n"/>
      <c r="S896" s="2" t="n">
        <v>33.55587215601352</v>
      </c>
      <c r="T896" s="2" t="n">
        <v>-7.558558380458106</v>
      </c>
      <c r="U896" s="3" t="n">
        <v>23472</v>
      </c>
      <c r="V896" s="2" t="inlineStr"/>
      <c r="W896" s="6" t="inlineStr">
        <is>
          <t>https://yakeey.com/fr-ma/achat/biens/78518</t>
        </is>
      </c>
    </row>
    <row r="897">
      <c r="A897" t="inlineStr">
        <is>
          <t>79345</t>
        </is>
      </c>
      <c r="B897" t="inlineStr">
        <is>
          <t>COMMERCIAL_BUILDING</t>
        </is>
      </c>
      <c r="C897" t="inlineStr">
        <is>
          <t>Oulfa</t>
        </is>
      </c>
      <c r="D897" t="inlineStr">
        <is>
          <t>Casablanca</t>
        </is>
      </c>
      <c r="E897" s="7" t="n">
        <v>2700000</v>
      </c>
      <c r="F897" s="8" t="n">
        <v>160</v>
      </c>
      <c r="G897" s="8" t="n"/>
      <c r="H897" s="8" t="n"/>
      <c r="I897" s="9">
        <f>IFERROR(E897/F897,"")</f>
        <v/>
      </c>
      <c r="P897" t="inlineStr">
        <is>
          <t>LISTED</t>
        </is>
      </c>
      <c r="S897" t="n">
        <v>33.54676832926097</v>
      </c>
      <c r="T897" t="n">
        <v>-7.674147927483076</v>
      </c>
      <c r="U897" s="7" t="n">
        <v>15533</v>
      </c>
      <c r="V897" t="inlineStr"/>
      <c r="W897" s="10" t="inlineStr">
        <is>
          <t>https://yakeey.com/fr-ma/achat/biens/79345</t>
        </is>
      </c>
    </row>
    <row r="898">
      <c r="A898" s="2" t="inlineStr">
        <is>
          <t>89328</t>
        </is>
      </c>
      <c r="B898" s="2" t="inlineStr">
        <is>
          <t>COMMERCIAL_BUILDING</t>
        </is>
      </c>
      <c r="C898" s="2" t="inlineStr">
        <is>
          <t>Belvedere (Roches Noires)</t>
        </is>
      </c>
      <c r="D898" s="2" t="inlineStr">
        <is>
          <t>Casablanca</t>
        </is>
      </c>
      <c r="E898" s="3" t="n">
        <v>1100000</v>
      </c>
      <c r="F898" s="4" t="n">
        <v>89</v>
      </c>
      <c r="G898" s="4" t="n"/>
      <c r="H898" s="4" t="n"/>
      <c r="I898" s="5">
        <f>IFERROR(E898/F898,"")</f>
        <v/>
      </c>
      <c r="J898" s="2" t="n"/>
      <c r="K898" s="2" t="n"/>
      <c r="L898" s="2" t="n"/>
      <c r="M898" s="2" t="n"/>
      <c r="N898" s="2" t="n"/>
      <c r="O898" s="2" t="n"/>
      <c r="P898" s="2" t="inlineStr">
        <is>
          <t>LISTED</t>
        </is>
      </c>
      <c r="Q898" s="2" t="n"/>
      <c r="R898" s="2" t="n"/>
      <c r="S898" s="2" t="n">
        <v>33.59461274581056</v>
      </c>
      <c r="T898" s="2" t="n">
        <v>-7.598309314234159</v>
      </c>
      <c r="U898" s="3" t="n">
        <v>6328</v>
      </c>
      <c r="V898" s="2" t="inlineStr"/>
      <c r="W898" s="6" t="inlineStr">
        <is>
          <t>https://yakeey.com/fr-ma/achat/biens/89328</t>
        </is>
      </c>
    </row>
    <row r="899">
      <c r="A899" t="inlineStr">
        <is>
          <t>90840</t>
        </is>
      </c>
      <c r="B899" t="inlineStr">
        <is>
          <t>COMMERCIAL_BUILDING</t>
        </is>
      </c>
      <c r="C899" t="inlineStr">
        <is>
          <t>La Gironde</t>
        </is>
      </c>
      <c r="D899" t="inlineStr">
        <is>
          <t>Casablanca</t>
        </is>
      </c>
      <c r="E899" s="7" t="n">
        <v>2300000</v>
      </c>
      <c r="F899" s="8" t="n">
        <v>89</v>
      </c>
      <c r="G899" s="8" t="n"/>
      <c r="H899" s="8" t="n"/>
      <c r="I899" s="9">
        <f>IFERROR(E899/F899,"")</f>
        <v/>
      </c>
      <c r="P899" t="inlineStr">
        <is>
          <t>LISTED</t>
        </is>
      </c>
      <c r="S899" t="n">
        <v>33.58655665803653</v>
      </c>
      <c r="T899" t="n">
        <v>-7.602303320400025</v>
      </c>
      <c r="U899" s="7" t="n">
        <v>13232</v>
      </c>
      <c r="V899" t="inlineStr"/>
      <c r="W899" s="10" t="inlineStr">
        <is>
          <t>https://yakeey.com/fr-ma/achat/biens/90840</t>
        </is>
      </c>
    </row>
    <row r="900">
      <c r="A900" s="2" t="inlineStr">
        <is>
          <t>91085</t>
        </is>
      </c>
      <c r="B900" s="2" t="inlineStr">
        <is>
          <t>COMMERCIAL_BUILDING</t>
        </is>
      </c>
      <c r="C900" s="2" t="inlineStr">
        <is>
          <t>Maarif</t>
        </is>
      </c>
      <c r="D900" s="2" t="inlineStr">
        <is>
          <t>Casablanca</t>
        </is>
      </c>
      <c r="E900" s="3" t="n">
        <v>1950000</v>
      </c>
      <c r="F900" s="4" t="n">
        <v>121</v>
      </c>
      <c r="G900" s="4" t="n"/>
      <c r="H900" s="4" t="n"/>
      <c r="I900" s="5">
        <f>IFERROR(E900/F900,"")</f>
        <v/>
      </c>
      <c r="J900" s="2" t="n"/>
      <c r="K900" s="2" t="n"/>
      <c r="L900" s="2" t="n"/>
      <c r="M900" s="2" t="n"/>
      <c r="N900" s="2" t="n"/>
      <c r="O900" s="2" t="n"/>
      <c r="P900" s="2" t="inlineStr">
        <is>
          <t>LISTED</t>
        </is>
      </c>
      <c r="Q900" s="2" t="n"/>
      <c r="R900" s="2" t="n"/>
      <c r="S900" s="2" t="n">
        <v>33.58323274900721</v>
      </c>
      <c r="T900" s="2" t="n">
        <v>-7.640261848568903</v>
      </c>
      <c r="U900" s="3" t="n">
        <v>11218</v>
      </c>
      <c r="V900" s="2" t="inlineStr"/>
      <c r="W900" s="6" t="inlineStr">
        <is>
          <t>https://yakeey.com/fr-ma/achat/biens/91085</t>
        </is>
      </c>
    </row>
    <row r="901">
      <c r="A901" t="inlineStr">
        <is>
          <t>91321</t>
        </is>
      </c>
      <c r="B901" t="inlineStr">
        <is>
          <t>COMMERCIAL_BUILDING</t>
        </is>
      </c>
      <c r="C901" t="inlineStr">
        <is>
          <t>Hopitaux</t>
        </is>
      </c>
      <c r="D901" t="inlineStr">
        <is>
          <t>Casablanca</t>
        </is>
      </c>
      <c r="E901" s="7" t="n">
        <v>5250000</v>
      </c>
      <c r="F901" s="8" t="n">
        <v>322</v>
      </c>
      <c r="G901" s="8" t="n"/>
      <c r="H901" s="8" t="n"/>
      <c r="I901" s="9">
        <f>IFERROR(E901/F901,"")</f>
        <v/>
      </c>
      <c r="P901" t="inlineStr">
        <is>
          <t>LISTED</t>
        </is>
      </c>
      <c r="S901" t="n">
        <v>33.57425317260668</v>
      </c>
      <c r="T901" t="n">
        <v>-7.626018479455485</v>
      </c>
      <c r="U901" s="7" t="n">
        <v>30203</v>
      </c>
      <c r="V901" t="inlineStr"/>
      <c r="W901" s="10" t="inlineStr">
        <is>
          <t>https://yakeey.com/fr-ma/achat/biens/91321</t>
        </is>
      </c>
    </row>
    <row r="902">
      <c r="A902" s="2" t="inlineStr">
        <is>
          <t>94132</t>
        </is>
      </c>
      <c r="B902" s="2" t="inlineStr">
        <is>
          <t>COMMERCIAL_BUILDING</t>
        </is>
      </c>
      <c r="C902" s="2" t="inlineStr">
        <is>
          <t>Racine</t>
        </is>
      </c>
      <c r="D902" s="2" t="inlineStr">
        <is>
          <t>Casablanca</t>
        </is>
      </c>
      <c r="E902" s="3" t="n">
        <v>6550000</v>
      </c>
      <c r="F902" s="4" t="n">
        <v>154</v>
      </c>
      <c r="G902" s="4" t="n"/>
      <c r="H902" s="4" t="n"/>
      <c r="I902" s="5">
        <f>IFERROR(E902/F902,"")</f>
        <v/>
      </c>
      <c r="J902" s="2" t="n"/>
      <c r="K902" s="2" t="n"/>
      <c r="L902" s="2" t="n"/>
      <c r="M902" s="2" t="n"/>
      <c r="N902" s="2" t="n"/>
      <c r="O902" s="2" t="n"/>
      <c r="P902" s="2" t="inlineStr">
        <is>
          <t>LISTED</t>
        </is>
      </c>
      <c r="Q902" s="2" t="n"/>
      <c r="R902" s="2" t="n"/>
      <c r="S902" s="2" t="n">
        <v>33.59167433123314</v>
      </c>
      <c r="T902" s="2" t="n">
        <v>-7.645775690714861</v>
      </c>
      <c r="U902" s="3" t="n">
        <v>37682</v>
      </c>
      <c r="V902" s="2" t="inlineStr"/>
      <c r="W902" s="6" t="inlineStr">
        <is>
          <t>https://yakeey.com/fr-ma/achat/biens/94132</t>
        </is>
      </c>
    </row>
    <row r="903">
      <c r="A903" t="inlineStr">
        <is>
          <t>94262</t>
        </is>
      </c>
      <c r="B903" t="inlineStr">
        <is>
          <t>COMMERCIAL_BUILDING</t>
        </is>
      </c>
      <c r="C903" t="inlineStr">
        <is>
          <t>Moulay Rachid</t>
        </is>
      </c>
      <c r="D903" t="inlineStr">
        <is>
          <t>Casablanca</t>
        </is>
      </c>
      <c r="E903" s="7" t="n">
        <v>2900000</v>
      </c>
      <c r="F903" s="8" t="n">
        <v>166</v>
      </c>
      <c r="G903" s="8" t="n"/>
      <c r="H903" s="8" t="n"/>
      <c r="I903" s="9">
        <f>IFERROR(E903/F903,"")</f>
        <v/>
      </c>
      <c r="P903" t="inlineStr">
        <is>
          <t>LISTED</t>
        </is>
      </c>
      <c r="S903" t="n">
        <v>33.57162174990524</v>
      </c>
      <c r="T903" t="n">
        <v>-7.53228019035444</v>
      </c>
      <c r="U903" s="7" t="n">
        <v>16683</v>
      </c>
      <c r="V903" t="inlineStr"/>
      <c r="W903" s="10" t="inlineStr">
        <is>
          <t>https://yakeey.com/fr-ma/achat/biens/94262</t>
        </is>
      </c>
    </row>
    <row r="904">
      <c r="A904" s="2" t="inlineStr">
        <is>
          <t>95487</t>
        </is>
      </c>
      <c r="B904" s="2" t="inlineStr">
        <is>
          <t>COMMERCIAL_BUILDING</t>
        </is>
      </c>
      <c r="C904" s="2" t="inlineStr">
        <is>
          <t>Mandarouna</t>
        </is>
      </c>
      <c r="D904" s="2" t="inlineStr">
        <is>
          <t>Casablanca</t>
        </is>
      </c>
      <c r="E904" s="3" t="n">
        <v>1800000</v>
      </c>
      <c r="F904" s="4" t="n">
        <v>62</v>
      </c>
      <c r="G904" s="4" t="n"/>
      <c r="H904" s="4" t="n"/>
      <c r="I904" s="5">
        <f>IFERROR(E904/F904,"")</f>
        <v/>
      </c>
      <c r="J904" s="2" t="n"/>
      <c r="K904" s="2" t="n"/>
      <c r="L904" s="2" t="n"/>
      <c r="M904" s="2" t="n"/>
      <c r="N904" s="2" t="n"/>
      <c r="O904" s="2" t="n"/>
      <c r="P904" s="2" t="inlineStr">
        <is>
          <t>LISTED</t>
        </is>
      </c>
      <c r="Q904" s="2" t="n"/>
      <c r="R904" s="2" t="n"/>
      <c r="S904" s="2" t="n">
        <v>33.52907310131729</v>
      </c>
      <c r="T904" s="2" t="n">
        <v>-7.616956666873408</v>
      </c>
      <c r="U904" s="3" t="n">
        <v>10355</v>
      </c>
      <c r="V904" s="2" t="inlineStr"/>
      <c r="W904" s="6" t="inlineStr">
        <is>
          <t>https://yakeey.com/fr-ma/achat/biens/95487</t>
        </is>
      </c>
    </row>
    <row r="905">
      <c r="A905" t="inlineStr">
        <is>
          <t>96066</t>
        </is>
      </c>
      <c r="B905" t="inlineStr">
        <is>
          <t>COMMERCIAL_BUILDING</t>
        </is>
      </c>
      <c r="C905" t="inlineStr">
        <is>
          <t>Maarif Extension</t>
        </is>
      </c>
      <c r="D905" t="inlineStr">
        <is>
          <t>Casablanca</t>
        </is>
      </c>
      <c r="E905" s="7" t="n">
        <v>4900000</v>
      </c>
      <c r="F905" s="8" t="n">
        <v>198</v>
      </c>
      <c r="G905" s="8" t="n"/>
      <c r="H905" s="8" t="n"/>
      <c r="I905" s="9">
        <f>IFERROR(E905/F905,"")</f>
        <v/>
      </c>
      <c r="P905" t="inlineStr">
        <is>
          <t>LISTED</t>
        </is>
      </c>
      <c r="S905" t="n">
        <v>33.58357232361746</v>
      </c>
      <c r="T905" t="n">
        <v>-7.6433682698731</v>
      </c>
      <c r="U905" s="7" t="n">
        <v>28189</v>
      </c>
      <c r="V905" t="inlineStr"/>
      <c r="W905" s="10" t="inlineStr">
        <is>
          <t>https://yakeey.com/fr-ma/achat/biens/96066</t>
        </is>
      </c>
    </row>
    <row r="906">
      <c r="A906" s="2" t="inlineStr">
        <is>
          <t>96551</t>
        </is>
      </c>
      <c r="B906" s="2" t="inlineStr">
        <is>
          <t>COMMERCIAL_BUILDING</t>
        </is>
      </c>
      <c r="C906" s="2" t="inlineStr">
        <is>
          <t>Cil</t>
        </is>
      </c>
      <c r="D906" s="2" t="inlineStr">
        <is>
          <t>Casablanca</t>
        </is>
      </c>
      <c r="E906" s="3" t="n">
        <v>16900000</v>
      </c>
      <c r="F906" s="4" t="n">
        <v>846</v>
      </c>
      <c r="G906" s="4" t="n"/>
      <c r="H906" s="4" t="n"/>
      <c r="I906" s="5">
        <f>IFERROR(E906/F906,"")</f>
        <v/>
      </c>
      <c r="J906" s="2" t="n"/>
      <c r="K906" s="2" t="n"/>
      <c r="L906" s="2" t="n"/>
      <c r="M906" s="2" t="n"/>
      <c r="N906" s="2" t="n"/>
      <c r="O906" s="2" t="n"/>
      <c r="P906" s="2" t="inlineStr">
        <is>
          <t>LISTED</t>
        </is>
      </c>
      <c r="Q906" s="2" t="n"/>
      <c r="R906" s="2" t="n"/>
      <c r="S906" s="2" t="n">
        <v>33.57541596788188</v>
      </c>
      <c r="T906" s="2" t="n">
        <v>-7.662361846852695</v>
      </c>
      <c r="U906" s="3" t="n">
        <v>97226</v>
      </c>
      <c r="V906" s="2" t="inlineStr"/>
      <c r="W906" s="6" t="inlineStr">
        <is>
          <t>https://yakeey.com/fr-ma/achat/biens/96551</t>
        </is>
      </c>
    </row>
    <row r="907">
      <c r="A907" t="inlineStr">
        <is>
          <t>1034</t>
        </is>
      </c>
      <c r="B907" t="inlineStr">
        <is>
          <t>DUPLEX</t>
        </is>
      </c>
      <c r="C907" t="inlineStr">
        <is>
          <t>Sidi Moumen</t>
        </is>
      </c>
      <c r="D907" t="inlineStr">
        <is>
          <t>Casablanca</t>
        </is>
      </c>
      <c r="E907" s="7" t="n">
        <v>1250000</v>
      </c>
      <c r="F907" s="8" t="n">
        <v>102</v>
      </c>
      <c r="G907" s="8" t="n"/>
      <c r="H907" s="8" t="n"/>
      <c r="I907" s="9">
        <f>IFERROR(E907/F907,"")</f>
        <v/>
      </c>
      <c r="J907" t="n">
        <v>4</v>
      </c>
      <c r="K907" t="n">
        <v>3</v>
      </c>
      <c r="P907" t="inlineStr">
        <is>
          <t>LISTED</t>
        </is>
      </c>
      <c r="S907" t="n">
        <v>33.57316855889155</v>
      </c>
      <c r="T907" t="n">
        <v>-7.526664945647494</v>
      </c>
      <c r="U907" s="7" t="n">
        <v>7191</v>
      </c>
      <c r="V907" t="inlineStr"/>
      <c r="W907" s="10" t="inlineStr">
        <is>
          <t>https://yakeey.com/fr-ma/achat/biens/1034</t>
        </is>
      </c>
    </row>
    <row r="908">
      <c r="A908" s="2" t="inlineStr">
        <is>
          <t>110977</t>
        </is>
      </c>
      <c r="B908" s="2" t="inlineStr">
        <is>
          <t>DUPLEX</t>
        </is>
      </c>
      <c r="C908" s="2" t="inlineStr">
        <is>
          <t>Maarif</t>
        </is>
      </c>
      <c r="D908" s="2" t="inlineStr">
        <is>
          <t>Casablanca</t>
        </is>
      </c>
      <c r="E908" s="3" t="n">
        <v>3100000</v>
      </c>
      <c r="F908" s="4" t="n">
        <v>188</v>
      </c>
      <c r="G908" s="4" t="n"/>
      <c r="H908" s="4" t="n"/>
      <c r="I908" s="5">
        <f>IFERROR(E908/F908,"")</f>
        <v/>
      </c>
      <c r="J908" s="2" t="n">
        <v>3</v>
      </c>
      <c r="K908" s="2" t="n">
        <v>2</v>
      </c>
      <c r="L908" s="2" t="n"/>
      <c r="M908" s="2" t="n"/>
      <c r="N908" s="2" t="n"/>
      <c r="O908" s="2" t="n"/>
      <c r="P908" s="2" t="inlineStr">
        <is>
          <t>LISTED</t>
        </is>
      </c>
      <c r="Q908" s="2" t="n"/>
      <c r="R908" s="2" t="n"/>
      <c r="S908" s="2" t="n">
        <v>33.58537791900811</v>
      </c>
      <c r="T908" s="2" t="n">
        <v>-7.634045044480135</v>
      </c>
      <c r="U908" s="3" t="n">
        <v>17834</v>
      </c>
      <c r="V908" s="2" t="inlineStr"/>
      <c r="W908" s="6" t="inlineStr">
        <is>
          <t>https://yakeey.com/fr-ma/achat/biens/110977</t>
        </is>
      </c>
    </row>
    <row r="909">
      <c r="A909" t="inlineStr">
        <is>
          <t>116654</t>
        </is>
      </c>
      <c r="B909" t="inlineStr">
        <is>
          <t>DUPLEX</t>
        </is>
      </c>
      <c r="C909" t="inlineStr">
        <is>
          <t>Hay Mohammadi</t>
        </is>
      </c>
      <c r="D909" t="inlineStr">
        <is>
          <t>Casablanca</t>
        </is>
      </c>
      <c r="E909" s="7" t="n">
        <v>900000</v>
      </c>
      <c r="F909" s="8" t="n">
        <v>131</v>
      </c>
      <c r="G909" s="8" t="n"/>
      <c r="H909" s="8" t="n"/>
      <c r="I909" s="9">
        <f>IFERROR(E909/F909,"")</f>
        <v/>
      </c>
      <c r="J909" t="n">
        <v>3</v>
      </c>
      <c r="K909" t="n">
        <v>2</v>
      </c>
      <c r="P909" t="inlineStr">
        <is>
          <t>LISTED</t>
        </is>
      </c>
      <c r="S909" t="n">
        <v>33.58151278354159</v>
      </c>
      <c r="T909" t="n">
        <v>-7.559634217784447</v>
      </c>
      <c r="U909" s="7" t="n">
        <v>5177</v>
      </c>
      <c r="V909" t="inlineStr"/>
      <c r="W909" s="10" t="inlineStr">
        <is>
          <t>https://yakeey.com/fr-ma/achat/biens/116654</t>
        </is>
      </c>
    </row>
    <row r="910">
      <c r="A910" s="2" t="inlineStr">
        <is>
          <t>121047</t>
        </is>
      </c>
      <c r="B910" s="2" t="inlineStr">
        <is>
          <t>DUPLEX</t>
        </is>
      </c>
      <c r="C910" s="2" t="inlineStr">
        <is>
          <t>Racine</t>
        </is>
      </c>
      <c r="D910" s="2" t="inlineStr">
        <is>
          <t>Casablanca</t>
        </is>
      </c>
      <c r="E910" s="3" t="n">
        <v>6300000</v>
      </c>
      <c r="F910" s="4" t="n">
        <v>538</v>
      </c>
      <c r="G910" s="4" t="n"/>
      <c r="H910" s="4" t="n"/>
      <c r="I910" s="5">
        <f>IFERROR(E910/F910,"")</f>
        <v/>
      </c>
      <c r="J910" s="2" t="n">
        <v>6</v>
      </c>
      <c r="K910" s="2" t="n">
        <v>3</v>
      </c>
      <c r="L910" s="2" t="n"/>
      <c r="M910" s="2" t="n"/>
      <c r="N910" s="2" t="n"/>
      <c r="O910" s="2" t="n"/>
      <c r="P910" s="2" t="inlineStr">
        <is>
          <t>LISTED</t>
        </is>
      </c>
      <c r="Q910" s="2" t="n"/>
      <c r="R910" s="2" t="n"/>
      <c r="S910" s="2" t="n">
        <v>33.59277878402447</v>
      </c>
      <c r="T910" s="2" t="n">
        <v>-7.639094427058609</v>
      </c>
      <c r="U910" s="3" t="n">
        <v>36244</v>
      </c>
      <c r="V910" s="2" t="inlineStr"/>
      <c r="W910" s="6" t="inlineStr">
        <is>
          <t>https://yakeey.com/fr-ma/achat/biens/121047</t>
        </is>
      </c>
    </row>
    <row r="911">
      <c r="A911" t="inlineStr">
        <is>
          <t>122989</t>
        </is>
      </c>
      <c r="B911" t="inlineStr">
        <is>
          <t>DUPLEX</t>
        </is>
      </c>
      <c r="C911" t="inlineStr">
        <is>
          <t>Triangle D'Or</t>
        </is>
      </c>
      <c r="D911" t="inlineStr">
        <is>
          <t>Casablanca</t>
        </is>
      </c>
      <c r="E911" s="7" t="n">
        <v>2600000</v>
      </c>
      <c r="F911" s="8" t="n">
        <v>95</v>
      </c>
      <c r="G911" s="8" t="n"/>
      <c r="H911" s="8" t="n"/>
      <c r="I911" s="9">
        <f>IFERROR(E911/F911,"")</f>
        <v/>
      </c>
      <c r="J911" t="n">
        <v>2</v>
      </c>
      <c r="K911" t="n">
        <v>2</v>
      </c>
      <c r="P911" t="inlineStr">
        <is>
          <t>LISTED</t>
        </is>
      </c>
      <c r="S911" t="n">
        <v>33.58985156937149</v>
      </c>
      <c r="T911" t="n">
        <v>-7.636244132981875</v>
      </c>
      <c r="U911" s="7" t="n">
        <v>14957</v>
      </c>
      <c r="V911" t="inlineStr"/>
      <c r="W911" s="10" t="inlineStr">
        <is>
          <t>https://yakeey.com/fr-ma/achat/biens/122989</t>
        </is>
      </c>
    </row>
    <row r="912">
      <c r="A912" s="2" t="inlineStr">
        <is>
          <t>125045</t>
        </is>
      </c>
      <c r="B912" s="2" t="inlineStr">
        <is>
          <t>DUPLEX</t>
        </is>
      </c>
      <c r="C912" s="2" t="inlineStr">
        <is>
          <t>Sidi Bernoussi</t>
        </is>
      </c>
      <c r="D912" s="2" t="inlineStr">
        <is>
          <t>Casablanca</t>
        </is>
      </c>
      <c r="E912" s="3" t="n">
        <v>1370000</v>
      </c>
      <c r="F912" s="4" t="n">
        <v>89</v>
      </c>
      <c r="G912" s="4" t="n"/>
      <c r="H912" s="4" t="n"/>
      <c r="I912" s="5">
        <f>IFERROR(E912/F912,"")</f>
        <v/>
      </c>
      <c r="J912" s="2" t="n">
        <v>4</v>
      </c>
      <c r="K912" s="2" t="n">
        <v>2</v>
      </c>
      <c r="L912" s="2" t="n"/>
      <c r="M912" s="2" t="n"/>
      <c r="N912" s="2" t="n"/>
      <c r="O912" s="2" t="n"/>
      <c r="P912" s="2" t="inlineStr">
        <is>
          <t>LISTED</t>
        </is>
      </c>
      <c r="Q912" s="2" t="n"/>
      <c r="R912" s="2" t="n"/>
      <c r="S912" s="2" t="n">
        <v>33.61966945386767</v>
      </c>
      <c r="T912" s="2" t="n">
        <v>-7.486123000182767</v>
      </c>
      <c r="U912" s="3" t="n">
        <v>7881</v>
      </c>
      <c r="V912" s="2" t="inlineStr"/>
      <c r="W912" s="6" t="inlineStr">
        <is>
          <t>https://yakeey.com/fr-ma/achat/biens/125045</t>
        </is>
      </c>
    </row>
    <row r="913">
      <c r="A913" t="inlineStr">
        <is>
          <t>127791</t>
        </is>
      </c>
      <c r="B913" t="inlineStr">
        <is>
          <t>DUPLEX</t>
        </is>
      </c>
      <c r="C913" t="inlineStr">
        <is>
          <t>Laymoune</t>
        </is>
      </c>
      <c r="D913" t="inlineStr">
        <is>
          <t>Casablanca</t>
        </is>
      </c>
      <c r="E913" s="7" t="n">
        <v>2500000</v>
      </c>
      <c r="F913" s="8" t="n">
        <v>252</v>
      </c>
      <c r="G913" s="8" t="n"/>
      <c r="H913" s="8" t="n"/>
      <c r="I913" s="9">
        <f>IFERROR(E913/F913,"")</f>
        <v/>
      </c>
      <c r="J913" t="n">
        <v>3</v>
      </c>
      <c r="K913" t="n">
        <v>2</v>
      </c>
      <c r="P913" t="inlineStr">
        <is>
          <t>LISTED</t>
        </is>
      </c>
      <c r="S913" t="n">
        <v>33.53245200777982</v>
      </c>
      <c r="T913" t="n">
        <v>-7.671228029902157</v>
      </c>
      <c r="U913" s="7" t="n">
        <v>14382</v>
      </c>
      <c r="V913" t="inlineStr"/>
      <c r="W913" s="10" t="inlineStr">
        <is>
          <t>https://yakeey.com/fr-ma/achat/biens/127791</t>
        </is>
      </c>
    </row>
    <row r="914">
      <c r="A914" s="2" t="inlineStr">
        <is>
          <t>139028</t>
        </is>
      </c>
      <c r="B914" s="2" t="inlineStr">
        <is>
          <t>DUPLEX</t>
        </is>
      </c>
      <c r="C914" s="2" t="inlineStr">
        <is>
          <t>Belvedere (Roches Noires)</t>
        </is>
      </c>
      <c r="D914" s="2" t="inlineStr">
        <is>
          <t>Casablanca</t>
        </is>
      </c>
      <c r="E914" s="3" t="n">
        <v>2500000</v>
      </c>
      <c r="F914" s="4" t="n">
        <v>283</v>
      </c>
      <c r="G914" s="4" t="n"/>
      <c r="H914" s="4" t="n"/>
      <c r="I914" s="5">
        <f>IFERROR(E914/F914,"")</f>
        <v/>
      </c>
      <c r="J914" s="2" t="n">
        <v>3</v>
      </c>
      <c r="K914" s="2" t="n">
        <v>2</v>
      </c>
      <c r="L914" s="2" t="n"/>
      <c r="M914" s="2" t="n"/>
      <c r="N914" s="2" t="n"/>
      <c r="O914" s="2" t="n"/>
      <c r="P914" s="2" t="inlineStr">
        <is>
          <t>LISTED</t>
        </is>
      </c>
      <c r="Q914" s="2" t="n"/>
      <c r="R914" s="2" t="n"/>
      <c r="S914" s="2" t="n">
        <v>33.59180711905928</v>
      </c>
      <c r="T914" s="2" t="n">
        <v>-7.602545893509821</v>
      </c>
      <c r="U914" s="3" t="n">
        <v>14382</v>
      </c>
      <c r="V914" s="2" t="inlineStr"/>
      <c r="W914" s="6" t="inlineStr">
        <is>
          <t>https://yakeey.com/fr-ma/achat/biens/139028</t>
        </is>
      </c>
    </row>
    <row r="915">
      <c r="A915" t="inlineStr">
        <is>
          <t>146269</t>
        </is>
      </c>
      <c r="B915" t="inlineStr">
        <is>
          <t>DUPLEX</t>
        </is>
      </c>
      <c r="C915" t="inlineStr">
        <is>
          <t>La Gironde</t>
        </is>
      </c>
      <c r="D915" t="inlineStr">
        <is>
          <t>Casablanca</t>
        </is>
      </c>
      <c r="E915" s="7" t="n">
        <v>1500000</v>
      </c>
      <c r="F915" s="8" t="n">
        <v>145</v>
      </c>
      <c r="G915" s="8" t="n"/>
      <c r="H915" s="8" t="n"/>
      <c r="I915" s="9">
        <f>IFERROR(E915/F915,"")</f>
        <v/>
      </c>
      <c r="J915" t="n">
        <v>3</v>
      </c>
      <c r="K915" t="n">
        <v>2</v>
      </c>
      <c r="P915" t="inlineStr">
        <is>
          <t>LISTED</t>
        </is>
      </c>
      <c r="S915" t="n">
        <v>33.59192939958154</v>
      </c>
      <c r="T915" t="n">
        <v>-7.604691321575081</v>
      </c>
      <c r="U915" s="7" t="n">
        <v>8629</v>
      </c>
      <c r="V915" t="inlineStr"/>
      <c r="W915" s="10" t="inlineStr">
        <is>
          <t>https://yakeey.com/fr-ma/achat/biens/146269</t>
        </is>
      </c>
    </row>
    <row r="916">
      <c r="A916" s="2" t="inlineStr">
        <is>
          <t>146323</t>
        </is>
      </c>
      <c r="B916" s="2" t="inlineStr">
        <is>
          <t>DUPLEX</t>
        </is>
      </c>
      <c r="C916" s="2" t="inlineStr">
        <is>
          <t>Ain Diab</t>
        </is>
      </c>
      <c r="D916" s="2" t="inlineStr">
        <is>
          <t>Casablanca</t>
        </is>
      </c>
      <c r="E916" s="3" t="n">
        <v>9500000</v>
      </c>
      <c r="F916" s="4" t="n">
        <v>318</v>
      </c>
      <c r="G916" s="4" t="n"/>
      <c r="H916" s="4" t="n"/>
      <c r="I916" s="5">
        <f>IFERROR(E916/F916,"")</f>
        <v/>
      </c>
      <c r="J916" s="2" t="n">
        <v>3</v>
      </c>
      <c r="K916" s="2" t="n">
        <v>2</v>
      </c>
      <c r="L916" s="2" t="n"/>
      <c r="M916" s="2" t="n"/>
      <c r="N916" s="2" t="n"/>
      <c r="O916" s="2" t="n"/>
      <c r="P916" s="2" t="inlineStr">
        <is>
          <t>LISTED</t>
        </is>
      </c>
      <c r="Q916" s="2" t="n"/>
      <c r="R916" s="2" t="n"/>
      <c r="S916" s="2" t="n">
        <v>33.58144928537595</v>
      </c>
      <c r="T916" s="2" t="n">
        <v>-7.674870248143917</v>
      </c>
      <c r="U916" s="3" t="n">
        <v>54654</v>
      </c>
      <c r="V916" s="2" t="inlineStr"/>
      <c r="W916" s="6" t="inlineStr">
        <is>
          <t>https://yakeey.com/fr-ma/achat/biens/146323</t>
        </is>
      </c>
    </row>
    <row r="917">
      <c r="A917" t="inlineStr">
        <is>
          <t>146493</t>
        </is>
      </c>
      <c r="B917" t="inlineStr">
        <is>
          <t>DUPLEX</t>
        </is>
      </c>
      <c r="C917" t="inlineStr">
        <is>
          <t>Casablanca Finance City</t>
        </is>
      </c>
      <c r="D917" t="inlineStr">
        <is>
          <t>Casablanca</t>
        </is>
      </c>
      <c r="E917" s="7" t="n">
        <v>5300000</v>
      </c>
      <c r="F917" s="8" t="n">
        <v>392</v>
      </c>
      <c r="G917" s="8" t="n"/>
      <c r="H917" s="8" t="n"/>
      <c r="I917" s="9">
        <f>IFERROR(E917/F917,"")</f>
        <v/>
      </c>
      <c r="J917" t="n">
        <v>3</v>
      </c>
      <c r="K917" t="n">
        <v>2</v>
      </c>
      <c r="P917" t="inlineStr">
        <is>
          <t>LISTED</t>
        </is>
      </c>
      <c r="S917" t="n">
        <v>33.56654032154118</v>
      </c>
      <c r="T917" t="n">
        <v>-7.663488663845085</v>
      </c>
      <c r="U917" s="7" t="n">
        <v>30491</v>
      </c>
      <c r="V917" t="inlineStr"/>
      <c r="W917" s="10" t="inlineStr">
        <is>
          <t>https://yakeey.com/fr-ma/achat/biens/146493</t>
        </is>
      </c>
    </row>
    <row r="918">
      <c r="A918" s="2" t="inlineStr">
        <is>
          <t>160792</t>
        </is>
      </c>
      <c r="B918" s="2" t="inlineStr">
        <is>
          <t>DUPLEX</t>
        </is>
      </c>
      <c r="C918" s="2" t="inlineStr">
        <is>
          <t>Gauthier</t>
        </is>
      </c>
      <c r="D918" s="2" t="inlineStr">
        <is>
          <t>Casablanca</t>
        </is>
      </c>
      <c r="E918" s="3" t="n">
        <v>4800000</v>
      </c>
      <c r="F918" s="4" t="n">
        <v>439</v>
      </c>
      <c r="G918" s="4" t="n"/>
      <c r="H918" s="4" t="n"/>
      <c r="I918" s="5">
        <f>IFERROR(E918/F918,"")</f>
        <v/>
      </c>
      <c r="J918" s="2" t="n">
        <v>5</v>
      </c>
      <c r="K918" s="2" t="n">
        <v>2</v>
      </c>
      <c r="L918" s="2" t="n"/>
      <c r="M918" s="2" t="n"/>
      <c r="N918" s="2" t="n"/>
      <c r="O918" s="2" t="n"/>
      <c r="P918" s="2" t="inlineStr">
        <is>
          <t>LISTED</t>
        </is>
      </c>
      <c r="Q918" s="2" t="n"/>
      <c r="R918" s="2" t="n"/>
      <c r="S918" s="2" t="n">
        <v>33.58887794253751</v>
      </c>
      <c r="T918" s="2" t="n">
        <v>-7.632926202645383</v>
      </c>
      <c r="U918" s="3" t="n">
        <v>27614</v>
      </c>
      <c r="V918" s="2" t="inlineStr"/>
      <c r="W918" s="6" t="inlineStr">
        <is>
          <t>https://yakeey.com/fr-ma/achat/biens/160792</t>
        </is>
      </c>
    </row>
    <row r="919">
      <c r="A919" t="inlineStr">
        <is>
          <t>161964</t>
        </is>
      </c>
      <c r="B919" t="inlineStr">
        <is>
          <t>DUPLEX</t>
        </is>
      </c>
      <c r="C919" t="inlineStr">
        <is>
          <t>Burger</t>
        </is>
      </c>
      <c r="D919" t="inlineStr">
        <is>
          <t>Casablanca</t>
        </is>
      </c>
      <c r="E919" s="7" t="n">
        <v>3180000</v>
      </c>
      <c r="F919" s="8" t="n">
        <v>193</v>
      </c>
      <c r="G919" s="8" t="n"/>
      <c r="H919" s="8" t="n"/>
      <c r="I919" s="9">
        <f>IFERROR(E919/F919,"")</f>
        <v/>
      </c>
      <c r="J919" t="n">
        <v>3</v>
      </c>
      <c r="K919" t="n">
        <v>2</v>
      </c>
      <c r="P919" t="inlineStr">
        <is>
          <t>LISTED</t>
        </is>
      </c>
      <c r="S919" t="n">
        <v>33.57411318801025</v>
      </c>
      <c r="T919" t="n">
        <v>-7.642312818980682</v>
      </c>
      <c r="U919" s="7" t="n">
        <v>18294</v>
      </c>
      <c r="V919" t="inlineStr"/>
      <c r="W919" s="10" t="inlineStr">
        <is>
          <t>https://yakeey.com/fr-ma/achat/biens/161964</t>
        </is>
      </c>
    </row>
    <row r="920">
      <c r="A920" s="2" t="inlineStr">
        <is>
          <t>169690</t>
        </is>
      </c>
      <c r="B920" s="2" t="inlineStr">
        <is>
          <t>DUPLEX</t>
        </is>
      </c>
      <c r="C920" s="2" t="inlineStr">
        <is>
          <t>Les Princesses</t>
        </is>
      </c>
      <c r="D920" s="2" t="inlineStr">
        <is>
          <t>Casablanca</t>
        </is>
      </c>
      <c r="E920" s="3" t="n">
        <v>4250000</v>
      </c>
      <c r="F920" s="4" t="n">
        <v>176</v>
      </c>
      <c r="G920" s="4" t="n"/>
      <c r="H920" s="4" t="n"/>
      <c r="I920" s="5">
        <f>IFERROR(E920/F920,"")</f>
        <v/>
      </c>
      <c r="J920" s="2" t="n">
        <v>3</v>
      </c>
      <c r="K920" s="2" t="n">
        <v>2</v>
      </c>
      <c r="L920" s="2" t="n"/>
      <c r="M920" s="2" t="n"/>
      <c r="N920" s="2" t="n"/>
      <c r="O920" s="2" t="n"/>
      <c r="P920" s="2" t="inlineStr">
        <is>
          <t>SOLD_OUT</t>
        </is>
      </c>
      <c r="Q920" s="2" t="n"/>
      <c r="R920" s="2" t="n"/>
      <c r="S920" s="2" t="n">
        <v>33.57960715121148</v>
      </c>
      <c r="T920" s="2" t="n">
        <v>-7.649561506943422</v>
      </c>
      <c r="U920" s="3" t="n">
        <v>24450</v>
      </c>
      <c r="V920" s="2" t="inlineStr"/>
      <c r="W920" s="6" t="inlineStr">
        <is>
          <t>https://yakeey.com/fr-ma/achat/biens/169690</t>
        </is>
      </c>
    </row>
    <row r="921">
      <c r="A921" t="inlineStr">
        <is>
          <t>170465</t>
        </is>
      </c>
      <c r="B921" t="inlineStr">
        <is>
          <t>DUPLEX</t>
        </is>
      </c>
      <c r="C921" t="inlineStr">
        <is>
          <t>Racine</t>
        </is>
      </c>
      <c r="D921" t="inlineStr">
        <is>
          <t>Casablanca</t>
        </is>
      </c>
      <c r="E921" s="7" t="n">
        <v>5000000</v>
      </c>
      <c r="F921" s="8" t="n">
        <v>285</v>
      </c>
      <c r="G921" s="8" t="n"/>
      <c r="H921" s="8" t="n"/>
      <c r="I921" s="9">
        <f>IFERROR(E921/F921,"")</f>
        <v/>
      </c>
      <c r="J921" t="n">
        <v>3</v>
      </c>
      <c r="K921" t="n">
        <v>3</v>
      </c>
      <c r="P921" t="inlineStr">
        <is>
          <t>LISTED</t>
        </is>
      </c>
      <c r="S921" t="n">
        <v>33.58998051147046</v>
      </c>
      <c r="T921" t="n">
        <v>-7.634494351806505</v>
      </c>
      <c r="U921" s="7" t="n">
        <v>28765</v>
      </c>
      <c r="V921" t="inlineStr"/>
      <c r="W921" s="10" t="inlineStr">
        <is>
          <t>https://yakeey.com/fr-ma/achat/biens/170465</t>
        </is>
      </c>
    </row>
    <row r="922">
      <c r="A922" s="2" t="inlineStr">
        <is>
          <t>170469</t>
        </is>
      </c>
      <c r="B922" s="2" t="inlineStr">
        <is>
          <t>DUPLEX</t>
        </is>
      </c>
      <c r="C922" s="2" t="inlineStr">
        <is>
          <t>Hopitaux</t>
        </is>
      </c>
      <c r="D922" s="2" t="inlineStr">
        <is>
          <t>Casablanca</t>
        </is>
      </c>
      <c r="E922" s="3" t="n">
        <v>2495000</v>
      </c>
      <c r="F922" s="4" t="n">
        <v>244</v>
      </c>
      <c r="G922" s="4" t="n"/>
      <c r="H922" s="4" t="n"/>
      <c r="I922" s="5">
        <f>IFERROR(E922/F922,"")</f>
        <v/>
      </c>
      <c r="J922" s="2" t="n">
        <v>4</v>
      </c>
      <c r="K922" s="2" t="n">
        <v>3</v>
      </c>
      <c r="L922" s="2" t="n"/>
      <c r="M922" s="2" t="n"/>
      <c r="N922" s="2" t="n"/>
      <c r="O922" s="2" t="n"/>
      <c r="P922" s="2" t="inlineStr">
        <is>
          <t>LISTED</t>
        </is>
      </c>
      <c r="Q922" s="2" t="n"/>
      <c r="R922" s="2" t="n"/>
      <c r="S922" s="2" t="n">
        <v>33.57100815733163</v>
      </c>
      <c r="T922" s="2" t="n">
        <v>-7.626511722353523</v>
      </c>
      <c r="U922" s="3" t="n">
        <v>14353</v>
      </c>
      <c r="V922" s="2" t="inlineStr"/>
      <c r="W922" s="6" t="inlineStr">
        <is>
          <t>https://yakeey.com/fr-ma/achat/biens/170469</t>
        </is>
      </c>
    </row>
    <row r="923">
      <c r="A923" t="inlineStr">
        <is>
          <t>174127</t>
        </is>
      </c>
      <c r="B923" t="inlineStr">
        <is>
          <t>DUPLEX</t>
        </is>
      </c>
      <c r="C923" t="inlineStr">
        <is>
          <t>Gauthier</t>
        </is>
      </c>
      <c r="D923" t="inlineStr">
        <is>
          <t>Casablanca</t>
        </is>
      </c>
      <c r="E923" s="7" t="n">
        <v>4800000</v>
      </c>
      <c r="F923" s="8" t="n">
        <v>210</v>
      </c>
      <c r="G923" s="8" t="n"/>
      <c r="H923" s="8" t="n"/>
      <c r="I923" s="9">
        <f>IFERROR(E923/F923,"")</f>
        <v/>
      </c>
      <c r="J923" t="n">
        <v>3</v>
      </c>
      <c r="K923" t="n">
        <v>3</v>
      </c>
      <c r="P923" t="inlineStr">
        <is>
          <t>LISTED</t>
        </is>
      </c>
      <c r="S923" t="n">
        <v>33.5899637646298</v>
      </c>
      <c r="T923" t="n">
        <v>-7.633905289612305</v>
      </c>
      <c r="U923" s="7" t="n">
        <v>27614</v>
      </c>
      <c r="V923" t="inlineStr"/>
      <c r="W923" s="10" t="inlineStr">
        <is>
          <t>https://yakeey.com/fr-ma/achat/biens/174127</t>
        </is>
      </c>
    </row>
    <row r="924">
      <c r="A924" s="2" t="inlineStr">
        <is>
          <t>176309</t>
        </is>
      </c>
      <c r="B924" s="2" t="inlineStr">
        <is>
          <t>DUPLEX</t>
        </is>
      </c>
      <c r="C924" s="2" t="inlineStr">
        <is>
          <t>La Gironde</t>
        </is>
      </c>
      <c r="D924" s="2" t="inlineStr">
        <is>
          <t>Casablanca</t>
        </is>
      </c>
      <c r="E924" s="3" t="n">
        <v>950000</v>
      </c>
      <c r="F924" s="4" t="n">
        <v>79</v>
      </c>
      <c r="G924" s="4" t="n"/>
      <c r="H924" s="4" t="n"/>
      <c r="I924" s="5">
        <f>IFERROR(E924/F924,"")</f>
        <v/>
      </c>
      <c r="J924" s="2" t="n">
        <v>1</v>
      </c>
      <c r="K924" s="2" t="n">
        <v>1</v>
      </c>
      <c r="L924" s="2" t="n"/>
      <c r="M924" s="2" t="n"/>
      <c r="N924" s="2" t="n"/>
      <c r="O924" s="2" t="n"/>
      <c r="P924" s="2" t="inlineStr">
        <is>
          <t>LISTED</t>
        </is>
      </c>
      <c r="Q924" s="2" t="n"/>
      <c r="R924" s="2" t="n"/>
      <c r="S924" s="2" t="n">
        <v>33.58445102572468</v>
      </c>
      <c r="T924" s="2" t="n">
        <v>-7.609950321103288</v>
      </c>
      <c r="U924" s="3" t="n">
        <v>5465</v>
      </c>
      <c r="V924" s="2" t="inlineStr"/>
      <c r="W924" s="6" t="inlineStr">
        <is>
          <t>https://yakeey.com/fr-ma/achat/biens/176309</t>
        </is>
      </c>
    </row>
    <row r="925">
      <c r="A925" t="inlineStr">
        <is>
          <t>177685</t>
        </is>
      </c>
      <c r="B925" t="inlineStr">
        <is>
          <t>DUPLEX</t>
        </is>
      </c>
      <c r="C925" t="inlineStr">
        <is>
          <t>Beausejour</t>
        </is>
      </c>
      <c r="D925" t="inlineStr">
        <is>
          <t>Casablanca</t>
        </is>
      </c>
      <c r="E925" s="7" t="n">
        <v>1592889</v>
      </c>
      <c r="F925" s="8" t="n">
        <v>129</v>
      </c>
      <c r="G925" s="8" t="n"/>
      <c r="H925" s="8" t="n"/>
      <c r="I925" s="9">
        <f>IFERROR(E925/F925,"")</f>
        <v/>
      </c>
      <c r="J925" t="n">
        <v>2</v>
      </c>
      <c r="K925" t="n">
        <v>2</v>
      </c>
      <c r="P925" t="inlineStr">
        <is>
          <t>LISTED</t>
        </is>
      </c>
      <c r="S925" t="n">
        <v>33.5629756139286</v>
      </c>
      <c r="T925" t="n">
        <v>-7.648041926420285</v>
      </c>
      <c r="U925" s="7" t="n">
        <v>9163</v>
      </c>
      <c r="V925" t="inlineStr"/>
      <c r="W925" s="10" t="inlineStr">
        <is>
          <t>https://yakeey.com/fr-ma/achat/biens/177685</t>
        </is>
      </c>
    </row>
    <row r="926">
      <c r="A926" s="2" t="inlineStr">
        <is>
          <t>180964</t>
        </is>
      </c>
      <c r="B926" s="2" t="inlineStr">
        <is>
          <t>DUPLEX</t>
        </is>
      </c>
      <c r="C926" s="2" t="inlineStr">
        <is>
          <t>Lissasfa</t>
        </is>
      </c>
      <c r="D926" s="2" t="inlineStr">
        <is>
          <t>Casablanca</t>
        </is>
      </c>
      <c r="E926" s="3" t="n">
        <v>2100000</v>
      </c>
      <c r="F926" s="4" t="n">
        <v>235</v>
      </c>
      <c r="G926" s="4" t="n"/>
      <c r="H926" s="4" t="n"/>
      <c r="I926" s="5">
        <f>IFERROR(E926/F926,"")</f>
        <v/>
      </c>
      <c r="J926" s="2" t="n">
        <v>4</v>
      </c>
      <c r="K926" s="2" t="n">
        <v>3</v>
      </c>
      <c r="L926" s="2" t="n"/>
      <c r="M926" s="2" t="n"/>
      <c r="N926" s="2" t="n"/>
      <c r="O926" s="2" t="n"/>
      <c r="P926" s="2" t="inlineStr">
        <is>
          <t>LISTED</t>
        </is>
      </c>
      <c r="Q926" s="2" t="n"/>
      <c r="R926" s="2" t="n"/>
      <c r="S926" s="2" t="n">
        <v>33.53640542553108</v>
      </c>
      <c r="T926" s="2" t="n">
        <v>-7.677918312335224</v>
      </c>
      <c r="U926" s="3" t="n">
        <v>12081</v>
      </c>
      <c r="V926" s="2" t="inlineStr"/>
      <c r="W926" s="6" t="inlineStr">
        <is>
          <t>https://yakeey.com/fr-ma/achat/biens/180964</t>
        </is>
      </c>
    </row>
    <row r="927">
      <c r="A927" t="inlineStr">
        <is>
          <t>185391</t>
        </is>
      </c>
      <c r="B927" t="inlineStr">
        <is>
          <t>DUPLEX</t>
        </is>
      </c>
      <c r="C927" t="inlineStr">
        <is>
          <t>Lusitania</t>
        </is>
      </c>
      <c r="D927" t="inlineStr">
        <is>
          <t>Casablanca</t>
        </is>
      </c>
      <c r="E927" s="7" t="n">
        <v>1980000</v>
      </c>
      <c r="F927" s="8" t="n">
        <v>130</v>
      </c>
      <c r="G927" s="8" t="n"/>
      <c r="H927" s="8" t="n"/>
      <c r="I927" s="9">
        <f>IFERROR(E927/F927,"")</f>
        <v/>
      </c>
      <c r="J927" t="n">
        <v>3</v>
      </c>
      <c r="K927" t="n">
        <v>2</v>
      </c>
      <c r="P927" t="inlineStr">
        <is>
          <t>LISTED</t>
        </is>
      </c>
      <c r="S927" t="n">
        <v>33.59544023067644</v>
      </c>
      <c r="T927" t="n">
        <v>-7.625441973529141</v>
      </c>
      <c r="U927" s="7" t="n">
        <v>11391</v>
      </c>
      <c r="V927" t="inlineStr"/>
      <c r="W927" s="10" t="inlineStr">
        <is>
          <t>https://yakeey.com/fr-ma/achat/biens/185391</t>
        </is>
      </c>
    </row>
    <row r="928">
      <c r="A928" s="2" t="inlineStr">
        <is>
          <t>187042</t>
        </is>
      </c>
      <c r="B928" s="2" t="inlineStr">
        <is>
          <t>DUPLEX</t>
        </is>
      </c>
      <c r="C928" s="2" t="inlineStr">
        <is>
          <t>Oulfa</t>
        </is>
      </c>
      <c r="D928" s="2" t="inlineStr">
        <is>
          <t>Casablanca</t>
        </is>
      </c>
      <c r="E928" s="3" t="n">
        <v>900000</v>
      </c>
      <c r="F928" s="4" t="n">
        <v>126</v>
      </c>
      <c r="G928" s="4" t="n"/>
      <c r="H928" s="4" t="n"/>
      <c r="I928" s="5">
        <f>IFERROR(E928/F928,"")</f>
        <v/>
      </c>
      <c r="J928" s="2" t="n">
        <v>3</v>
      </c>
      <c r="K928" s="2" t="n">
        <v>1</v>
      </c>
      <c r="L928" s="2" t="n"/>
      <c r="M928" s="2" t="n"/>
      <c r="N928" s="2" t="n"/>
      <c r="O928" s="2" t="n"/>
      <c r="P928" s="2" t="inlineStr">
        <is>
          <t>LISTED</t>
        </is>
      </c>
      <c r="Q928" s="2" t="n"/>
      <c r="R928" s="2" t="n"/>
      <c r="S928" s="2" t="n">
        <v>33.53978308730454</v>
      </c>
      <c r="T928" s="2" t="n">
        <v>-7.679296667449844</v>
      </c>
      <c r="U928" s="3" t="n">
        <v>5177</v>
      </c>
      <c r="V928" s="2" t="inlineStr"/>
      <c r="W928" s="6" t="inlineStr">
        <is>
          <t>https://yakeey.com/fr-ma/achat/biens/187042</t>
        </is>
      </c>
    </row>
    <row r="929">
      <c r="A929" t="inlineStr">
        <is>
          <t>187812</t>
        </is>
      </c>
      <c r="B929" t="inlineStr">
        <is>
          <t>DUPLEX</t>
        </is>
      </c>
      <c r="C929" t="inlineStr">
        <is>
          <t>Ferme Bretonne</t>
        </is>
      </c>
      <c r="D929" t="inlineStr">
        <is>
          <t>Casablanca</t>
        </is>
      </c>
      <c r="E929" s="7" t="n">
        <v>2500000</v>
      </c>
      <c r="F929" s="8" t="n">
        <v>124</v>
      </c>
      <c r="G929" s="8" t="n"/>
      <c r="H929" s="8" t="n"/>
      <c r="I929" s="9">
        <f>IFERROR(E929/F929,"")</f>
        <v/>
      </c>
      <c r="J929" t="n">
        <v>3</v>
      </c>
      <c r="K929" t="n">
        <v>2</v>
      </c>
      <c r="P929" t="inlineStr">
        <is>
          <t>PROCESSING</t>
        </is>
      </c>
      <c r="S929" t="n">
        <v>33.55526487787636</v>
      </c>
      <c r="T929" t="n">
        <v>-7.647063886019813</v>
      </c>
      <c r="U929" s="7" t="n">
        <v>14382</v>
      </c>
      <c r="V929" t="inlineStr"/>
      <c r="W929" s="10" t="inlineStr">
        <is>
          <t>https://yakeey.com/fr-ma/achat/biens/187812</t>
        </is>
      </c>
    </row>
    <row r="930">
      <c r="A930" s="2" t="inlineStr">
        <is>
          <t>21522</t>
        </is>
      </c>
      <c r="B930" s="2" t="inlineStr">
        <is>
          <t>DUPLEX</t>
        </is>
      </c>
      <c r="C930" s="2" t="inlineStr">
        <is>
          <t>Racine</t>
        </is>
      </c>
      <c r="D930" s="2" t="inlineStr">
        <is>
          <t>Casablanca</t>
        </is>
      </c>
      <c r="E930" s="3" t="n">
        <v>4100000</v>
      </c>
      <c r="F930" s="4" t="n">
        <v>318</v>
      </c>
      <c r="G930" s="4" t="n"/>
      <c r="H930" s="4" t="n"/>
      <c r="I930" s="5">
        <f>IFERROR(E930/F930,"")</f>
        <v/>
      </c>
      <c r="J930" s="2" t="n">
        <v>4</v>
      </c>
      <c r="K930" s="2" t="n">
        <v>3</v>
      </c>
      <c r="L930" s="2" t="n"/>
      <c r="M930" s="2" t="n"/>
      <c r="N930" s="2" t="n"/>
      <c r="O930" s="2" t="n"/>
      <c r="P930" s="2" t="inlineStr">
        <is>
          <t>LISTED</t>
        </is>
      </c>
      <c r="Q930" s="2" t="n"/>
      <c r="R930" s="2" t="n"/>
      <c r="S930" s="2" t="n">
        <v>33.59073032410618</v>
      </c>
      <c r="T930" s="2" t="n">
        <v>-7.636343138181045</v>
      </c>
      <c r="U930" s="3" t="n">
        <v>23587</v>
      </c>
      <c r="V930" s="2" t="inlineStr"/>
      <c r="W930" s="6" t="inlineStr">
        <is>
          <t>https://yakeey.com/fr-ma/achat/biens/21522</t>
        </is>
      </c>
    </row>
    <row r="931">
      <c r="A931" t="inlineStr">
        <is>
          <t>26637</t>
        </is>
      </c>
      <c r="B931" t="inlineStr">
        <is>
          <t>DUPLEX</t>
        </is>
      </c>
      <c r="C931" t="inlineStr">
        <is>
          <t>Victoria</t>
        </is>
      </c>
      <c r="D931" t="inlineStr">
        <is>
          <t>Bouskoura</t>
        </is>
      </c>
      <c r="E931" s="7" t="n">
        <v>1880000</v>
      </c>
      <c r="F931" s="8" t="n">
        <v>197</v>
      </c>
      <c r="G931" s="8" t="n"/>
      <c r="H931" s="8" t="n"/>
      <c r="I931" s="9">
        <f>IFERROR(E931/F931,"")</f>
        <v/>
      </c>
      <c r="J931" t="n">
        <v>4</v>
      </c>
      <c r="K931" t="n">
        <v>2</v>
      </c>
      <c r="P931" t="inlineStr">
        <is>
          <t>LISTED</t>
        </is>
      </c>
      <c r="S931" t="n">
        <v>33.42161823286757</v>
      </c>
      <c r="T931" t="n">
        <v>-7.674513241382013</v>
      </c>
      <c r="U931" s="7" t="n">
        <v>10815</v>
      </c>
      <c r="V931" t="inlineStr"/>
      <c r="W931" s="10" t="inlineStr">
        <is>
          <t>https://yakeey.com/fr-ma/achat/biens/26637</t>
        </is>
      </c>
    </row>
    <row r="932">
      <c r="A932" s="2" t="inlineStr">
        <is>
          <t>31592</t>
        </is>
      </c>
      <c r="B932" s="2" t="inlineStr">
        <is>
          <t>DUPLEX</t>
        </is>
      </c>
      <c r="C932" s="2" t="inlineStr">
        <is>
          <t>Nouaceur</t>
        </is>
      </c>
      <c r="D932" s="2" t="inlineStr">
        <is>
          <t>Nouaceur</t>
        </is>
      </c>
      <c r="E932" s="3" t="n">
        <v>2700000</v>
      </c>
      <c r="F932" s="4" t="n">
        <v>131</v>
      </c>
      <c r="G932" s="4" t="n"/>
      <c r="H932" s="4" t="n"/>
      <c r="I932" s="5">
        <f>IFERROR(E932/F932,"")</f>
        <v/>
      </c>
      <c r="J932" s="2" t="n">
        <v>4</v>
      </c>
      <c r="K932" s="2" t="n">
        <v>4</v>
      </c>
      <c r="L932" s="2" t="n"/>
      <c r="M932" s="2" t="n"/>
      <c r="N932" s="2" t="n"/>
      <c r="O932" s="2" t="n"/>
      <c r="P932" s="2" t="inlineStr">
        <is>
          <t>LISTED</t>
        </is>
      </c>
      <c r="Q932" s="2" t="n"/>
      <c r="R932" s="2" t="n"/>
      <c r="S932" s="2" t="n">
        <v>33.38373148130685</v>
      </c>
      <c r="T932" s="2" t="n">
        <v>-7.547194542686515</v>
      </c>
      <c r="U932" s="3" t="n">
        <v>15533</v>
      </c>
      <c r="V932" s="2" t="inlineStr"/>
      <c r="W932" s="6" t="inlineStr">
        <is>
          <t>https://yakeey.com/fr-ma/achat/biens/31592</t>
        </is>
      </c>
    </row>
    <row r="933">
      <c r="A933" t="inlineStr">
        <is>
          <t>47114</t>
        </is>
      </c>
      <c r="B933" t="inlineStr">
        <is>
          <t>DUPLEX</t>
        </is>
      </c>
      <c r="C933" t="inlineStr">
        <is>
          <t>Sidi Othmane</t>
        </is>
      </c>
      <c r="D933" t="inlineStr">
        <is>
          <t>Casablanca</t>
        </is>
      </c>
      <c r="E933" s="7" t="n">
        <v>1100000</v>
      </c>
      <c r="F933" s="8" t="n">
        <v>119</v>
      </c>
      <c r="G933" s="8" t="n"/>
      <c r="H933" s="8" t="n"/>
      <c r="I933" s="9">
        <f>IFERROR(E933/F933,"")</f>
        <v/>
      </c>
      <c r="J933" t="n">
        <v>4</v>
      </c>
      <c r="K933" t="n">
        <v>2</v>
      </c>
      <c r="P933" t="inlineStr">
        <is>
          <t>LISTED</t>
        </is>
      </c>
      <c r="S933" t="n">
        <v>33.56307981411002</v>
      </c>
      <c r="T933" t="n">
        <v>-7.55676126768963</v>
      </c>
      <c r="U933" s="7" t="n">
        <v>6328</v>
      </c>
      <c r="V933" t="inlineStr"/>
      <c r="W933" s="10" t="inlineStr">
        <is>
          <t>https://yakeey.com/fr-ma/achat/biens/47114</t>
        </is>
      </c>
    </row>
    <row r="934">
      <c r="A934" s="2" t="inlineStr">
        <is>
          <t>57220</t>
        </is>
      </c>
      <c r="B934" s="2" t="inlineStr">
        <is>
          <t>DUPLEX</t>
        </is>
      </c>
      <c r="C934" s="2" t="inlineStr">
        <is>
          <t>Benmsick</t>
        </is>
      </c>
      <c r="D934" s="2" t="inlineStr">
        <is>
          <t>Casablanca</t>
        </is>
      </c>
      <c r="E934" s="3" t="n">
        <v>450000</v>
      </c>
      <c r="F934" s="4" t="n">
        <v>29</v>
      </c>
      <c r="G934" s="4" t="n"/>
      <c r="H934" s="4" t="n"/>
      <c r="I934" s="5">
        <f>IFERROR(E934/F934,"")</f>
        <v/>
      </c>
      <c r="J934" s="2" t="n">
        <v>3</v>
      </c>
      <c r="K934" s="2" t="n">
        <v>2</v>
      </c>
      <c r="L934" s="2" t="n"/>
      <c r="M934" s="2" t="n"/>
      <c r="N934" s="2" t="n"/>
      <c r="O934" s="2" t="n"/>
      <c r="P934" s="2" t="inlineStr">
        <is>
          <t>LISTED</t>
        </is>
      </c>
      <c r="Q934" s="2" t="n"/>
      <c r="R934" s="2" t="n"/>
      <c r="S934" s="2" t="n">
        <v>33.5516030823099</v>
      </c>
      <c r="T934" s="2" t="n">
        <v>-7.576465613064626</v>
      </c>
      <c r="U934" s="3" t="n">
        <v>2588</v>
      </c>
      <c r="V934" s="2" t="inlineStr"/>
      <c r="W934" s="6" t="inlineStr">
        <is>
          <t>https://yakeey.com/fr-ma/achat/biens/57220</t>
        </is>
      </c>
    </row>
    <row r="935">
      <c r="A935" t="inlineStr">
        <is>
          <t>59645</t>
        </is>
      </c>
      <c r="B935" t="inlineStr">
        <is>
          <t>DUPLEX</t>
        </is>
      </c>
      <c r="C935" t="inlineStr">
        <is>
          <t>Racine</t>
        </is>
      </c>
      <c r="D935" t="inlineStr">
        <is>
          <t>Casablanca</t>
        </is>
      </c>
      <c r="E935" s="7" t="n">
        <v>3800000</v>
      </c>
      <c r="F935" s="8" t="n">
        <v>254</v>
      </c>
      <c r="G935" s="8" t="n"/>
      <c r="H935" s="8" t="n"/>
      <c r="I935" s="9">
        <f>IFERROR(E935/F935,"")</f>
        <v/>
      </c>
      <c r="J935" t="n">
        <v>4</v>
      </c>
      <c r="K935" t="n">
        <v>2</v>
      </c>
      <c r="P935" t="inlineStr">
        <is>
          <t>LISTED</t>
        </is>
      </c>
      <c r="S935" t="n">
        <v>33.59033172946545</v>
      </c>
      <c r="T935" t="n">
        <v>-7.639637241526121</v>
      </c>
      <c r="U935" s="7" t="n">
        <v>21861</v>
      </c>
      <c r="V935" t="inlineStr"/>
      <c r="W935" s="10" t="inlineStr">
        <is>
          <t>https://yakeey.com/fr-ma/achat/biens/59645</t>
        </is>
      </c>
    </row>
    <row r="936">
      <c r="A936" s="2" t="inlineStr">
        <is>
          <t>61163</t>
        </is>
      </c>
      <c r="B936" s="2" t="inlineStr">
        <is>
          <t>DUPLEX</t>
        </is>
      </c>
      <c r="C936" s="2" t="inlineStr">
        <is>
          <t>Maarif</t>
        </is>
      </c>
      <c r="D936" s="2" t="inlineStr">
        <is>
          <t>Casablanca</t>
        </is>
      </c>
      <c r="E936" s="3" t="n">
        <v>2282000</v>
      </c>
      <c r="F936" s="4" t="n">
        <v>163</v>
      </c>
      <c r="G936" s="4" t="n"/>
      <c r="H936" s="4" t="n"/>
      <c r="I936" s="5">
        <f>IFERROR(E936/F936,"")</f>
        <v/>
      </c>
      <c r="J936" s="2" t="n">
        <v>3</v>
      </c>
      <c r="K936" s="2" t="n">
        <v>1</v>
      </c>
      <c r="L936" s="2" t="n"/>
      <c r="M936" s="2" t="n"/>
      <c r="N936" s="2" t="n"/>
      <c r="O936" s="2" t="n"/>
      <c r="P936" s="2" t="inlineStr">
        <is>
          <t>LISTED</t>
        </is>
      </c>
      <c r="Q936" s="2" t="n"/>
      <c r="R936" s="2" t="n"/>
      <c r="S936" s="2" t="n">
        <v>33.58525559230903</v>
      </c>
      <c r="T936" s="2" t="n">
        <v>-7.631354518229308</v>
      </c>
      <c r="U936" s="3" t="n">
        <v>13128</v>
      </c>
      <c r="V936" s="2" t="inlineStr"/>
      <c r="W936" s="6" t="inlineStr">
        <is>
          <t>https://yakeey.com/fr-ma/achat/biens/61163</t>
        </is>
      </c>
    </row>
    <row r="937">
      <c r="A937" t="inlineStr">
        <is>
          <t>61259</t>
        </is>
      </c>
      <c r="B937" t="inlineStr">
        <is>
          <t>DUPLEX</t>
        </is>
      </c>
      <c r="C937" t="inlineStr">
        <is>
          <t>Racine</t>
        </is>
      </c>
      <c r="D937" t="inlineStr">
        <is>
          <t>Casablanca</t>
        </is>
      </c>
      <c r="E937" s="7" t="n">
        <v>2950000</v>
      </c>
      <c r="F937" s="8" t="n">
        <v>214</v>
      </c>
      <c r="G937" s="8" t="n"/>
      <c r="H937" s="8" t="n"/>
      <c r="I937" s="9">
        <f>IFERROR(E937/F937,"")</f>
        <v/>
      </c>
      <c r="J937" t="n">
        <v>3</v>
      </c>
      <c r="K937" t="n">
        <v>2</v>
      </c>
      <c r="P937" t="inlineStr">
        <is>
          <t>LISTED</t>
        </is>
      </c>
      <c r="S937" t="n">
        <v>33.59249158643657</v>
      </c>
      <c r="T937" t="n">
        <v>-7.638487938595642</v>
      </c>
      <c r="U937" s="7" t="n">
        <v>16971</v>
      </c>
      <c r="V937" t="inlineStr"/>
      <c r="W937" s="10" t="inlineStr">
        <is>
          <t>https://yakeey.com/fr-ma/achat/biens/61259</t>
        </is>
      </c>
    </row>
    <row r="938">
      <c r="A938" s="2" t="inlineStr">
        <is>
          <t>61833</t>
        </is>
      </c>
      <c r="B938" s="2" t="inlineStr">
        <is>
          <t>DUPLEX</t>
        </is>
      </c>
      <c r="C938" s="2" t="inlineStr">
        <is>
          <t>Sidi Moumen</t>
        </is>
      </c>
      <c r="D938" s="2" t="inlineStr">
        <is>
          <t>Casablanca</t>
        </is>
      </c>
      <c r="E938" s="3" t="n">
        <v>1690000</v>
      </c>
      <c r="F938" s="4" t="n">
        <v>178</v>
      </c>
      <c r="G938" s="4" t="n"/>
      <c r="H938" s="4" t="n"/>
      <c r="I938" s="5">
        <f>IFERROR(E938/F938,"")</f>
        <v/>
      </c>
      <c r="J938" s="2" t="n">
        <v>5</v>
      </c>
      <c r="K938" s="2" t="n">
        <v>2</v>
      </c>
      <c r="L938" s="2" t="n"/>
      <c r="M938" s="2" t="n"/>
      <c r="N938" s="2" t="n"/>
      <c r="O938" s="2" t="n"/>
      <c r="P938" s="2" t="inlineStr">
        <is>
          <t>LISTED</t>
        </is>
      </c>
      <c r="Q938" s="2" t="n"/>
      <c r="R938" s="2" t="n"/>
      <c r="S938" s="2" t="n">
        <v>33.58134159079496</v>
      </c>
      <c r="T938" s="2" t="n">
        <v>-7.526551074153001</v>
      </c>
      <c r="U938" s="3" t="n">
        <v>9722</v>
      </c>
      <c r="V938" s="2" t="inlineStr"/>
      <c r="W938" s="6" t="inlineStr">
        <is>
          <t>https://yakeey.com/fr-ma/achat/biens/61833</t>
        </is>
      </c>
    </row>
    <row r="939">
      <c r="A939" t="inlineStr">
        <is>
          <t>63065</t>
        </is>
      </c>
      <c r="B939" t="inlineStr">
        <is>
          <t>DUPLEX</t>
        </is>
      </c>
      <c r="C939" t="inlineStr">
        <is>
          <t>Oulfa</t>
        </is>
      </c>
      <c r="D939" t="inlineStr">
        <is>
          <t>Casablanca</t>
        </is>
      </c>
      <c r="E939" s="7" t="n">
        <v>1850000</v>
      </c>
      <c r="F939" s="8" t="n">
        <v>165</v>
      </c>
      <c r="G939" s="8" t="n"/>
      <c r="H939" s="8" t="n"/>
      <c r="I939" s="9">
        <f>IFERROR(E939/F939,"")</f>
        <v/>
      </c>
      <c r="J939" t="n">
        <v>3</v>
      </c>
      <c r="K939" t="n">
        <v>2</v>
      </c>
      <c r="P939" t="inlineStr">
        <is>
          <t>LISTED</t>
        </is>
      </c>
      <c r="S939" t="n">
        <v>33.56493220635156</v>
      </c>
      <c r="T939" t="n">
        <v>-7.671666590033121</v>
      </c>
      <c r="U939" s="7" t="n">
        <v>10643</v>
      </c>
      <c r="V939" t="inlineStr"/>
      <c r="W939" s="10" t="inlineStr">
        <is>
          <t>https://yakeey.com/fr-ma/achat/biens/63065</t>
        </is>
      </c>
    </row>
    <row r="940">
      <c r="A940" s="2" t="inlineStr">
        <is>
          <t>6551</t>
        </is>
      </c>
      <c r="B940" s="2" t="inlineStr">
        <is>
          <t>DUPLEX</t>
        </is>
      </c>
      <c r="C940" s="2" t="inlineStr">
        <is>
          <t>Hopitaux</t>
        </is>
      </c>
      <c r="D940" s="2" t="inlineStr">
        <is>
          <t>Casablanca</t>
        </is>
      </c>
      <c r="E940" s="3" t="n">
        <v>4200000</v>
      </c>
      <c r="F940" s="4" t="n">
        <v>296</v>
      </c>
      <c r="G940" s="4" t="n"/>
      <c r="H940" s="4" t="n"/>
      <c r="I940" s="5">
        <f>IFERROR(E940/F940,"")</f>
        <v/>
      </c>
      <c r="J940" s="2" t="n">
        <v>4</v>
      </c>
      <c r="K940" s="2" t="n">
        <v>2</v>
      </c>
      <c r="L940" s="2" t="n"/>
      <c r="M940" s="2" t="n"/>
      <c r="N940" s="2" t="n"/>
      <c r="O940" s="2" t="n"/>
      <c r="P940" s="2" t="inlineStr">
        <is>
          <t>LISTED</t>
        </is>
      </c>
      <c r="Q940" s="2" t="n"/>
      <c r="R940" s="2" t="n"/>
      <c r="S940" s="2" t="n">
        <v>33.57468667320163</v>
      </c>
      <c r="T940" s="2" t="n">
        <v>-7.616688649650323</v>
      </c>
      <c r="U940" s="3" t="n">
        <v>24162</v>
      </c>
      <c r="V940" s="2" t="inlineStr"/>
      <c r="W940" s="6" t="inlineStr">
        <is>
          <t>https://yakeey.com/fr-ma/achat/biens/6551</t>
        </is>
      </c>
    </row>
    <row r="941">
      <c r="A941" t="inlineStr">
        <is>
          <t>78952</t>
        </is>
      </c>
      <c r="B941" t="inlineStr">
        <is>
          <t>DUPLEX</t>
        </is>
      </c>
      <c r="C941" t="inlineStr">
        <is>
          <t>Hopitaux</t>
        </is>
      </c>
      <c r="D941" t="inlineStr">
        <is>
          <t>Casablanca</t>
        </is>
      </c>
      <c r="E941" s="7" t="n">
        <v>1350000</v>
      </c>
      <c r="F941" s="8" t="n">
        <v>60</v>
      </c>
      <c r="G941" s="8" t="n"/>
      <c r="H941" s="8" t="n"/>
      <c r="I941" s="9">
        <f>IFERROR(E941/F941,"")</f>
        <v/>
      </c>
      <c r="J941" t="n">
        <v>2</v>
      </c>
      <c r="K941" t="n">
        <v>2</v>
      </c>
      <c r="P941" t="inlineStr">
        <is>
          <t>LISTED</t>
        </is>
      </c>
      <c r="S941" t="n">
        <v>33.58038607275198</v>
      </c>
      <c r="T941" t="n">
        <v>-7.616569932185172</v>
      </c>
      <c r="U941" s="7" t="n">
        <v>7766</v>
      </c>
      <c r="V941" t="inlineStr"/>
      <c r="W941" s="10" t="inlineStr">
        <is>
          <t>https://yakeey.com/fr-ma/achat/biens/78952</t>
        </is>
      </c>
    </row>
    <row r="942">
      <c r="A942" s="2" t="inlineStr">
        <is>
          <t>81754</t>
        </is>
      </c>
      <c r="B942" s="2" t="inlineStr">
        <is>
          <t>DUPLEX</t>
        </is>
      </c>
      <c r="C942" s="2" t="inlineStr">
        <is>
          <t>Florida - Mandarona</t>
        </is>
      </c>
      <c r="D942" s="2" t="inlineStr">
        <is>
          <t>Casablanca</t>
        </is>
      </c>
      <c r="E942" s="3" t="n">
        <v>3050000</v>
      </c>
      <c r="F942" s="4" t="n">
        <v>220</v>
      </c>
      <c r="G942" s="4" t="n"/>
      <c r="H942" s="4" t="n"/>
      <c r="I942" s="5">
        <f>IFERROR(E942/F942,"")</f>
        <v/>
      </c>
      <c r="J942" s="2" t="n">
        <v>5</v>
      </c>
      <c r="K942" s="2" t="n">
        <v>3</v>
      </c>
      <c r="L942" s="2" t="n"/>
      <c r="M942" s="2" t="n"/>
      <c r="N942" s="2" t="n"/>
      <c r="O942" s="2" t="n"/>
      <c r="P942" s="2" t="inlineStr">
        <is>
          <t>LISTED</t>
        </is>
      </c>
      <c r="Q942" s="2" t="n"/>
      <c r="R942" s="2" t="n"/>
      <c r="S942" s="2" t="n">
        <v>33.53711314947281</v>
      </c>
      <c r="T942" s="2" t="n">
        <v>-7.648347611872075</v>
      </c>
      <c r="U942" s="3" t="n">
        <v>17546</v>
      </c>
      <c r="V942" s="2" t="inlineStr"/>
      <c r="W942" s="6" t="inlineStr">
        <is>
          <t>https://yakeey.com/fr-ma/achat/biens/81754</t>
        </is>
      </c>
    </row>
    <row r="943">
      <c r="A943" t="inlineStr">
        <is>
          <t>88298</t>
        </is>
      </c>
      <c r="B943" t="inlineStr">
        <is>
          <t>DUPLEX</t>
        </is>
      </c>
      <c r="C943" t="inlineStr">
        <is>
          <t>Triangle D'Or</t>
        </is>
      </c>
      <c r="D943" t="inlineStr">
        <is>
          <t>Casablanca</t>
        </is>
      </c>
      <c r="E943" s="7" t="n">
        <v>5400000</v>
      </c>
      <c r="F943" s="8" t="n">
        <v>386</v>
      </c>
      <c r="G943" s="8" t="n"/>
      <c r="H943" s="8" t="n"/>
      <c r="I943" s="9">
        <f>IFERROR(E943/F943,"")</f>
        <v/>
      </c>
      <c r="J943" t="n">
        <v>5</v>
      </c>
      <c r="K943" t="n">
        <v>3</v>
      </c>
      <c r="P943" t="inlineStr">
        <is>
          <t>LISTED</t>
        </is>
      </c>
      <c r="S943" t="n">
        <v>33.59253187154966</v>
      </c>
      <c r="T943" t="n">
        <v>-7.641338032530352</v>
      </c>
      <c r="U943" s="7" t="n">
        <v>31066</v>
      </c>
      <c r="V943" t="inlineStr"/>
      <c r="W943" s="10" t="inlineStr">
        <is>
          <t>https://yakeey.com/fr-ma/achat/biens/88298</t>
        </is>
      </c>
    </row>
    <row r="944">
      <c r="A944" s="2" t="inlineStr">
        <is>
          <t>141863</t>
        </is>
      </c>
      <c r="B944" s="2" t="inlineStr">
        <is>
          <t>FLAT</t>
        </is>
      </c>
      <c r="C944" s="2" t="inlineStr">
        <is>
          <t>Mandarouna</t>
        </is>
      </c>
      <c r="D944" s="2" t="inlineStr">
        <is>
          <t>Casablanca</t>
        </is>
      </c>
      <c r="E944" s="3" t="n">
        <v>1200000</v>
      </c>
      <c r="F944" s="4" t="n">
        <v>134</v>
      </c>
      <c r="G944" s="4" t="n"/>
      <c r="H944" s="4" t="n"/>
      <c r="I944" s="5">
        <f>IFERROR(E944/F944,"")</f>
        <v/>
      </c>
      <c r="J944" s="2" t="n">
        <v>3</v>
      </c>
      <c r="K944" s="2" t="n">
        <v>1</v>
      </c>
      <c r="L944" s="2" t="n"/>
      <c r="M944" s="2" t="n"/>
      <c r="N944" s="2" t="n"/>
      <c r="O944" s="2" t="n"/>
      <c r="P944" s="2" t="inlineStr">
        <is>
          <t>LISTED</t>
        </is>
      </c>
      <c r="Q944" s="2" t="n"/>
      <c r="R944" s="2" t="n"/>
      <c r="S944" s="2" t="n">
        <v>33.53641481790275</v>
      </c>
      <c r="T944" s="2" t="n">
        <v>-7.605069322005577</v>
      </c>
      <c r="U944" s="3" t="n">
        <v>6903</v>
      </c>
      <c r="V944" s="2" t="inlineStr"/>
      <c r="W944" s="6" t="inlineStr">
        <is>
          <t>https://yakeey.com/fr-ma/achat/biens/141863</t>
        </is>
      </c>
    </row>
    <row r="945">
      <c r="A945" t="inlineStr">
        <is>
          <t>142052</t>
        </is>
      </c>
      <c r="B945" t="inlineStr">
        <is>
          <t>FLAT</t>
        </is>
      </c>
      <c r="C945" t="inlineStr">
        <is>
          <t>Lekrimat</t>
        </is>
      </c>
      <c r="D945" t="inlineStr">
        <is>
          <t>Casablanca</t>
        </is>
      </c>
      <c r="E945" s="7" t="n">
        <v>3050000</v>
      </c>
      <c r="F945" s="8" t="n">
        <v>242</v>
      </c>
      <c r="G945" s="8" t="n"/>
      <c r="H945" s="8" t="n"/>
      <c r="I945" s="9">
        <f>IFERROR(E945/F945,"")</f>
        <v/>
      </c>
      <c r="J945" t="n">
        <v>4</v>
      </c>
      <c r="K945" t="n">
        <v>2</v>
      </c>
      <c r="P945" t="inlineStr">
        <is>
          <t>LISTED</t>
        </is>
      </c>
      <c r="S945" t="n">
        <v>33.54279246346643</v>
      </c>
      <c r="T945" t="n">
        <v>-7.618147342172688</v>
      </c>
      <c r="U945" s="7" t="n">
        <v>17546</v>
      </c>
      <c r="V945" t="inlineStr"/>
      <c r="W945" s="10" t="inlineStr">
        <is>
          <t>https://yakeey.com/fr-ma/achat/biens/142052</t>
        </is>
      </c>
    </row>
    <row r="946">
      <c r="A946" s="2" t="inlineStr">
        <is>
          <t>142627</t>
        </is>
      </c>
      <c r="B946" s="2" t="inlineStr">
        <is>
          <t>FLAT</t>
        </is>
      </c>
      <c r="C946" s="2" t="inlineStr">
        <is>
          <t>Burger</t>
        </is>
      </c>
      <c r="D946" s="2" t="inlineStr">
        <is>
          <t>Casablanca</t>
        </is>
      </c>
      <c r="E946" s="3" t="n">
        <v>1400000</v>
      </c>
      <c r="F946" s="4" t="n">
        <v>77</v>
      </c>
      <c r="G946" s="4" t="n"/>
      <c r="H946" s="4" t="n"/>
      <c r="I946" s="5">
        <f>IFERROR(E946/F946,"")</f>
        <v/>
      </c>
      <c r="J946" s="2" t="n">
        <v>2</v>
      </c>
      <c r="K946" s="2" t="n">
        <v>2</v>
      </c>
      <c r="L946" s="2" t="n"/>
      <c r="M946" s="2" t="n"/>
      <c r="N946" s="2" t="n"/>
      <c r="O946" s="2" t="n"/>
      <c r="P946" s="2" t="inlineStr">
        <is>
          <t>LISTED</t>
        </is>
      </c>
      <c r="Q946" s="2" t="n"/>
      <c r="R946" s="2" t="n"/>
      <c r="S946" s="2" t="n">
        <v>33.57416760163578</v>
      </c>
      <c r="T946" s="2" t="n">
        <v>-7.642147313623943</v>
      </c>
      <c r="U946" s="3" t="n">
        <v>8054</v>
      </c>
      <c r="V946" s="2" t="inlineStr"/>
      <c r="W946" s="6" t="inlineStr">
        <is>
          <t>https://yakeey.com/fr-ma/achat/biens/142627</t>
        </is>
      </c>
    </row>
    <row r="947">
      <c r="A947" t="inlineStr">
        <is>
          <t>152476</t>
        </is>
      </c>
      <c r="B947" t="inlineStr">
        <is>
          <t>FLAT</t>
        </is>
      </c>
      <c r="C947" t="inlineStr">
        <is>
          <t>Maarif Extension</t>
        </is>
      </c>
      <c r="D947" t="inlineStr">
        <is>
          <t>Casablanca</t>
        </is>
      </c>
      <c r="E947" s="7" t="n">
        <v>1800000</v>
      </c>
      <c r="F947" s="8" t="n">
        <v>189</v>
      </c>
      <c r="G947" s="8" t="n"/>
      <c r="H947" s="8" t="n"/>
      <c r="I947" s="9">
        <f>IFERROR(E947/F947,"")</f>
        <v/>
      </c>
      <c r="J947" t="n">
        <v>3</v>
      </c>
      <c r="P947" t="inlineStr">
        <is>
          <t>LISTED</t>
        </is>
      </c>
      <c r="S947" t="n">
        <v>33.58250895080864</v>
      </c>
      <c r="T947" t="n">
        <v>-7.641318770070738</v>
      </c>
      <c r="U947" s="7" t="n">
        <v>10355</v>
      </c>
      <c r="V947" t="inlineStr"/>
      <c r="W947" s="10" t="inlineStr">
        <is>
          <t>https://yakeey.com/fr-ma/achat/biens/152476</t>
        </is>
      </c>
    </row>
    <row r="948">
      <c r="A948" s="2" t="inlineStr">
        <is>
          <t>170737</t>
        </is>
      </c>
      <c r="B948" s="2" t="inlineStr">
        <is>
          <t>FLAT</t>
        </is>
      </c>
      <c r="C948" s="2" t="inlineStr">
        <is>
          <t>Gauthier</t>
        </is>
      </c>
      <c r="D948" s="2" t="inlineStr">
        <is>
          <t>Casablanca</t>
        </is>
      </c>
      <c r="E948" s="3" t="n">
        <v>2550000</v>
      </c>
      <c r="F948" s="4" t="n">
        <v>152</v>
      </c>
      <c r="G948" s="4" t="n"/>
      <c r="H948" s="4" t="n"/>
      <c r="I948" s="5">
        <f>IFERROR(E948/F948,"")</f>
        <v/>
      </c>
      <c r="J948" s="2" t="n">
        <v>3</v>
      </c>
      <c r="K948" s="2" t="n">
        <v>2</v>
      </c>
      <c r="L948" s="2" t="n"/>
      <c r="M948" s="2" t="n"/>
      <c r="N948" s="2" t="n"/>
      <c r="O948" s="2" t="n"/>
      <c r="P948" s="2" t="inlineStr">
        <is>
          <t>LISTED</t>
        </is>
      </c>
      <c r="Q948" s="2" t="n"/>
      <c r="R948" s="2" t="n"/>
      <c r="S948" s="2" t="n">
        <v>33.58960500519282</v>
      </c>
      <c r="T948" s="2" t="n">
        <v>-7.632118899984969</v>
      </c>
      <c r="U948" s="3" t="n">
        <v>14670</v>
      </c>
      <c r="V948" s="2" t="inlineStr"/>
      <c r="W948" s="6" t="inlineStr">
        <is>
          <t>https://yakeey.com/fr-ma/achat/biens/170737</t>
        </is>
      </c>
    </row>
    <row r="949">
      <c r="A949" t="inlineStr">
        <is>
          <t>178653</t>
        </is>
      </c>
      <c r="B949" t="inlineStr">
        <is>
          <t>FLAT</t>
        </is>
      </c>
      <c r="C949" t="inlineStr">
        <is>
          <t>Racine</t>
        </is>
      </c>
      <c r="D949" t="inlineStr">
        <is>
          <t>Casablanca</t>
        </is>
      </c>
      <c r="E949" s="7" t="n">
        <v>4600000</v>
      </c>
      <c r="F949" s="8" t="n">
        <v>193</v>
      </c>
      <c r="G949" s="8" t="n"/>
      <c r="H949" s="8" t="n"/>
      <c r="I949" s="9">
        <f>IFERROR(E949/F949,"")</f>
        <v/>
      </c>
      <c r="J949" t="n">
        <v>3</v>
      </c>
      <c r="K949" t="n">
        <v>2</v>
      </c>
      <c r="P949" t="inlineStr">
        <is>
          <t>LISTED</t>
        </is>
      </c>
      <c r="S949" t="n">
        <v>33.58930234530914</v>
      </c>
      <c r="T949" t="n">
        <v>-7.640748138332758</v>
      </c>
      <c r="U949" s="7" t="n">
        <v>26464</v>
      </c>
      <c r="V949" t="inlineStr"/>
      <c r="W949" s="10" t="inlineStr">
        <is>
          <t>https://yakeey.com/fr-ma/achat/biens/178653</t>
        </is>
      </c>
    </row>
    <row r="950">
      <c r="A950" s="2" t="inlineStr">
        <is>
          <t>181762</t>
        </is>
      </c>
      <c r="B950" s="2" t="inlineStr">
        <is>
          <t>FLAT</t>
        </is>
      </c>
      <c r="C950" s="2" t="inlineStr">
        <is>
          <t>Belvedere (Roches Noires)</t>
        </is>
      </c>
      <c r="D950" s="2" t="inlineStr">
        <is>
          <t>Casablanca</t>
        </is>
      </c>
      <c r="E950" s="3" t="n">
        <v>880000</v>
      </c>
      <c r="F950" s="4" t="n">
        <v>76</v>
      </c>
      <c r="G950" s="4" t="n"/>
      <c r="H950" s="4" t="n"/>
      <c r="I950" s="5">
        <f>IFERROR(E950/F950,"")</f>
        <v/>
      </c>
      <c r="J950" s="2" t="n">
        <v>2</v>
      </c>
      <c r="K950" s="2" t="n">
        <v>1</v>
      </c>
      <c r="L950" s="2" t="n"/>
      <c r="M950" s="2" t="n"/>
      <c r="N950" s="2" t="n"/>
      <c r="O950" s="2" t="n"/>
      <c r="P950" s="2" t="inlineStr">
        <is>
          <t>LISTED</t>
        </is>
      </c>
      <c r="Q950" s="2" t="n"/>
      <c r="R950" s="2" t="n"/>
      <c r="S950" s="2" t="n">
        <v>33.58698385056756</v>
      </c>
      <c r="T950" s="2" t="n">
        <v>-7.595921846339619</v>
      </c>
      <c r="U950" s="3" t="n">
        <v>5062</v>
      </c>
      <c r="V950" s="2" t="inlineStr"/>
      <c r="W950" s="6" t="inlineStr">
        <is>
          <t>https://yakeey.com/fr-ma/achat/biens/181762</t>
        </is>
      </c>
    </row>
    <row r="951">
      <c r="A951" t="inlineStr">
        <is>
          <t>184816</t>
        </is>
      </c>
      <c r="B951" t="inlineStr">
        <is>
          <t>FLAT</t>
        </is>
      </c>
      <c r="C951" t="inlineStr">
        <is>
          <t>Roches Noires</t>
        </is>
      </c>
      <c r="D951" t="inlineStr">
        <is>
          <t>Casablanca</t>
        </is>
      </c>
      <c r="E951" s="7" t="n">
        <v>1270000</v>
      </c>
      <c r="F951" s="8" t="n">
        <v>94</v>
      </c>
      <c r="G951" s="8" t="n"/>
      <c r="H951" s="8" t="n"/>
      <c r="I951" s="9">
        <f>IFERROR(E951/F951,"")</f>
        <v/>
      </c>
      <c r="J951" t="n">
        <v>2</v>
      </c>
      <c r="K951" t="n">
        <v>2</v>
      </c>
      <c r="P951" t="inlineStr">
        <is>
          <t>LISTED</t>
        </is>
      </c>
      <c r="S951" t="n">
        <v>33.60122251057353</v>
      </c>
      <c r="T951" t="n">
        <v>-7.583926093143021</v>
      </c>
      <c r="U951" s="7" t="n">
        <v>7306</v>
      </c>
      <c r="V951" t="inlineStr"/>
      <c r="W951" s="10" t="inlineStr">
        <is>
          <t>https://yakeey.com/fr-ma/achat/biens/184816</t>
        </is>
      </c>
    </row>
    <row r="952">
      <c r="A952" s="2" t="inlineStr">
        <is>
          <t>187265</t>
        </is>
      </c>
      <c r="B952" s="2" t="inlineStr">
        <is>
          <t>FLAT</t>
        </is>
      </c>
      <c r="C952" s="2" t="inlineStr">
        <is>
          <t>Ain Borja</t>
        </is>
      </c>
      <c r="D952" s="2" t="inlineStr">
        <is>
          <t>Casablanca</t>
        </is>
      </c>
      <c r="E952" s="3" t="n">
        <v>1378392</v>
      </c>
      <c r="F952" s="4" t="n">
        <v>163</v>
      </c>
      <c r="G952" s="4" t="n"/>
      <c r="H952" s="4" t="n"/>
      <c r="I952" s="5">
        <f>IFERROR(E952/F952,"")</f>
        <v/>
      </c>
      <c r="J952" s="2" t="n">
        <v>3</v>
      </c>
      <c r="K952" s="2" t="n">
        <v>1</v>
      </c>
      <c r="L952" s="2" t="n"/>
      <c r="M952" s="2" t="n"/>
      <c r="N952" s="2" t="n"/>
      <c r="O952" s="2" t="n"/>
      <c r="P952" s="2" t="inlineStr">
        <is>
          <t>PROCESSING</t>
        </is>
      </c>
      <c r="Q952" s="2" t="n"/>
      <c r="R952" s="2" t="n"/>
      <c r="S952" s="2" t="n">
        <v>33.58160412770171</v>
      </c>
      <c r="T952" s="2" t="n">
        <v>-7.565111540888332</v>
      </c>
      <c r="U952" s="3" t="n">
        <v>7929</v>
      </c>
      <c r="V952" s="2" t="inlineStr"/>
      <c r="W952" s="6" t="inlineStr">
        <is>
          <t>https://yakeey.com/fr-ma/achat/biens/187265</t>
        </is>
      </c>
    </row>
    <row r="953">
      <c r="A953" t="inlineStr">
        <is>
          <t>187759</t>
        </is>
      </c>
      <c r="B953" t="inlineStr">
        <is>
          <t>FLAT</t>
        </is>
      </c>
      <c r="C953" t="inlineStr">
        <is>
          <t>Quartier Tsf</t>
        </is>
      </c>
      <c r="D953" t="inlineStr">
        <is>
          <t>Casablanca</t>
        </is>
      </c>
      <c r="E953" s="7" t="n">
        <v>800000</v>
      </c>
      <c r="F953" s="8" t="n">
        <v>86</v>
      </c>
      <c r="G953" s="8" t="n"/>
      <c r="H953" s="8" t="n"/>
      <c r="I953" s="9">
        <f>IFERROR(E953/F953,"")</f>
        <v/>
      </c>
      <c r="J953" t="n">
        <v>2</v>
      </c>
      <c r="K953" t="n">
        <v>1</v>
      </c>
      <c r="P953" t="inlineStr">
        <is>
          <t>QUALIFICATION_PENDING</t>
        </is>
      </c>
      <c r="S953" t="n">
        <v>33.60185237527665</v>
      </c>
      <c r="T953" t="n">
        <v>-7.633767292892969</v>
      </c>
      <c r="U953" s="7" t="n">
        <v>4602</v>
      </c>
      <c r="V953" t="inlineStr"/>
      <c r="W953" s="10" t="inlineStr">
        <is>
          <t>https://yakeey.com/fr-ma/achat/biens/187759</t>
        </is>
      </c>
    </row>
    <row r="954">
      <c r="A954" s="2" t="inlineStr">
        <is>
          <t>187885</t>
        </is>
      </c>
      <c r="B954" s="2" t="inlineStr">
        <is>
          <t>FLAT</t>
        </is>
      </c>
      <c r="C954" s="2" t="inlineStr">
        <is>
          <t>Fida</t>
        </is>
      </c>
      <c r="D954" s="2" t="inlineStr">
        <is>
          <t>Casablanca</t>
        </is>
      </c>
      <c r="E954" s="3" t="n">
        <v>734944</v>
      </c>
      <c r="F954" s="4" t="n">
        <v>87</v>
      </c>
      <c r="G954" s="4" t="n"/>
      <c r="H954" s="4" t="n"/>
      <c r="I954" s="5">
        <f>IFERROR(E954/F954,"")</f>
        <v/>
      </c>
      <c r="J954" s="2" t="n">
        <v>2</v>
      </c>
      <c r="K954" s="2" t="n">
        <v>1</v>
      </c>
      <c r="L954" s="2" t="n"/>
      <c r="M954" s="2" t="n"/>
      <c r="N954" s="2" t="n"/>
      <c r="O954" s="2" t="n"/>
      <c r="P954" s="2" t="inlineStr">
        <is>
          <t>PROCESSING</t>
        </is>
      </c>
      <c r="Q954" s="2" t="n"/>
      <c r="R954" s="2" t="n"/>
      <c r="S954" s="2" t="n">
        <v>33.55861767451747</v>
      </c>
      <c r="T954" s="2" t="n">
        <v>-7.598607760182654</v>
      </c>
      <c r="U954" s="3" t="n">
        <v>4228</v>
      </c>
      <c r="V954" s="2" t="inlineStr"/>
      <c r="W954" s="6" t="inlineStr">
        <is>
          <t>https://yakeey.com/fr-ma/achat/biens/187885</t>
        </is>
      </c>
    </row>
    <row r="955">
      <c r="A955" t="inlineStr">
        <is>
          <t>188003</t>
        </is>
      </c>
      <c r="B955" t="inlineStr">
        <is>
          <t>FLAT</t>
        </is>
      </c>
      <c r="C955" t="inlineStr">
        <is>
          <t>Hopitaux</t>
        </is>
      </c>
      <c r="D955" t="inlineStr">
        <is>
          <t>Casablanca</t>
        </is>
      </c>
      <c r="E955" s="7" t="n">
        <v>2323408</v>
      </c>
      <c r="F955" s="8" t="n">
        <v>168</v>
      </c>
      <c r="G955" s="8" t="n"/>
      <c r="H955" s="8" t="n"/>
      <c r="I955" s="9">
        <f>IFERROR(E955/F955,"")</f>
        <v/>
      </c>
      <c r="J955" t="n">
        <v>1</v>
      </c>
      <c r="K955" t="n">
        <v>1</v>
      </c>
      <c r="P955" t="inlineStr">
        <is>
          <t>QUALIFICATION_PENDING</t>
        </is>
      </c>
      <c r="S955" t="n">
        <v>33.57518514705431</v>
      </c>
      <c r="T955" t="n">
        <v>-7.617633840802056</v>
      </c>
      <c r="U955" s="7" t="n"/>
      <c r="V955" t="inlineStr"/>
      <c r="W955" s="10" t="inlineStr">
        <is>
          <t>https://yakeey.com/fr-ma/achat/biens/188003</t>
        </is>
      </c>
    </row>
    <row r="956">
      <c r="A956" s="2" t="inlineStr">
        <is>
          <t>188064</t>
        </is>
      </c>
      <c r="B956" s="2" t="inlineStr">
        <is>
          <t>FLAT</t>
        </is>
      </c>
      <c r="C956" s="2" t="inlineStr">
        <is>
          <t>Sidi Maarouf</t>
        </is>
      </c>
      <c r="D956" s="2" t="inlineStr">
        <is>
          <t>Casablanca</t>
        </is>
      </c>
      <c r="E956" s="3" t="n">
        <v>950000</v>
      </c>
      <c r="F956" s="4" t="n">
        <v>73</v>
      </c>
      <c r="G956" s="4" t="n"/>
      <c r="H956" s="4" t="n"/>
      <c r="I956" s="5">
        <f>IFERROR(E956/F956,"")</f>
        <v/>
      </c>
      <c r="J956" s="2" t="n">
        <v>3</v>
      </c>
      <c r="K956" s="2" t="n">
        <v>2</v>
      </c>
      <c r="L956" s="2" t="n"/>
      <c r="M956" s="2" t="n"/>
      <c r="N956" s="2" t="n"/>
      <c r="O956" s="2" t="n"/>
      <c r="P956" s="2" t="inlineStr">
        <is>
          <t>QUALIFICATION_PENDING</t>
        </is>
      </c>
      <c r="Q956" s="2" t="n"/>
      <c r="R956" s="2" t="n"/>
      <c r="S956" s="2" t="n">
        <v>33.51751290087112</v>
      </c>
      <c r="T956" s="2" t="n">
        <v>-7.650718855816319</v>
      </c>
      <c r="U956" s="3" t="n">
        <v>5465</v>
      </c>
      <c r="V956" s="2" t="inlineStr"/>
      <c r="W956" s="6" t="inlineStr">
        <is>
          <t>https://yakeey.com/fr-ma/achat/biens/188064</t>
        </is>
      </c>
    </row>
    <row r="957">
      <c r="A957" t="inlineStr">
        <is>
          <t>188471</t>
        </is>
      </c>
      <c r="B957" t="inlineStr">
        <is>
          <t>FLAT</t>
        </is>
      </c>
      <c r="C957" t="inlineStr">
        <is>
          <t>Liberte</t>
        </is>
      </c>
      <c r="D957" t="inlineStr">
        <is>
          <t>Casablanca</t>
        </is>
      </c>
      <c r="E957" s="7" t="n">
        <v>925000</v>
      </c>
      <c r="F957" s="8" t="n">
        <v>109</v>
      </c>
      <c r="G957" s="8" t="n"/>
      <c r="H957" s="8" t="n"/>
      <c r="I957" s="9">
        <f>IFERROR(E957/F957,"")</f>
        <v/>
      </c>
      <c r="J957" t="n">
        <v>2</v>
      </c>
      <c r="K957" t="n">
        <v>2</v>
      </c>
      <c r="P957" t="inlineStr">
        <is>
          <t>PROCESSING</t>
        </is>
      </c>
      <c r="S957" t="n">
        <v>33.58427667360555</v>
      </c>
      <c r="T957" t="n">
        <v>-7.608214764894387</v>
      </c>
      <c r="U957" s="7" t="n">
        <v>5321</v>
      </c>
      <c r="V957" t="inlineStr"/>
      <c r="W957" s="10" t="inlineStr">
        <is>
          <t>https://yakeey.com/fr-ma/achat/biens/188471</t>
        </is>
      </c>
    </row>
    <row r="958">
      <c r="A958" s="2" t="inlineStr">
        <is>
          <t>188472</t>
        </is>
      </c>
      <c r="B958" s="2" t="inlineStr">
        <is>
          <t>FLAT</t>
        </is>
      </c>
      <c r="C958" s="2" t="inlineStr">
        <is>
          <t>Ain Borja</t>
        </is>
      </c>
      <c r="D958" s="2" t="inlineStr">
        <is>
          <t>Casablanca</t>
        </is>
      </c>
      <c r="E958" s="3" t="n">
        <v>655000</v>
      </c>
      <c r="F958" s="4" t="n">
        <v>69</v>
      </c>
      <c r="G958" s="4" t="n"/>
      <c r="H958" s="4" t="n"/>
      <c r="I958" s="5">
        <f>IFERROR(E958/F958,"")</f>
        <v/>
      </c>
      <c r="J958" s="2" t="n">
        <v>2</v>
      </c>
      <c r="K958" s="2" t="n">
        <v>2</v>
      </c>
      <c r="L958" s="2" t="n"/>
      <c r="M958" s="2" t="n"/>
      <c r="N958" s="2" t="n"/>
      <c r="O958" s="2" t="n"/>
      <c r="P958" s="2" t="inlineStr">
        <is>
          <t>QUALIFICATION_PENDING</t>
        </is>
      </c>
      <c r="Q958" s="2" t="n"/>
      <c r="R958" s="2" t="n"/>
      <c r="S958" s="2" t="n">
        <v>33.58146891816332</v>
      </c>
      <c r="T958" s="2" t="n">
        <v>-7.581861662720348</v>
      </c>
      <c r="U958" s="3" t="n">
        <v>3768</v>
      </c>
      <c r="V958" s="2" t="inlineStr"/>
      <c r="W958" s="6" t="inlineStr">
        <is>
          <t>https://yakeey.com/fr-ma/achat/biens/188472</t>
        </is>
      </c>
    </row>
    <row r="959">
      <c r="A959" t="inlineStr">
        <is>
          <t>188863</t>
        </is>
      </c>
      <c r="B959" t="inlineStr">
        <is>
          <t>FLAT</t>
        </is>
      </c>
      <c r="C959" t="inlineStr">
        <is>
          <t>Maarif Extension</t>
        </is>
      </c>
      <c r="D959" t="inlineStr">
        <is>
          <t>Casablanca</t>
        </is>
      </c>
      <c r="E959" s="7" t="n">
        <v>1650000</v>
      </c>
      <c r="F959" s="8" t="n">
        <v>84</v>
      </c>
      <c r="G959" s="8" t="n"/>
      <c r="H959" s="8" t="n"/>
      <c r="I959" s="9">
        <f>IFERROR(E959/F959,"")</f>
        <v/>
      </c>
      <c r="J959" t="n">
        <v>2</v>
      </c>
      <c r="K959" t="n">
        <v>2</v>
      </c>
      <c r="P959" t="inlineStr">
        <is>
          <t>QUALIFICATION_PENDING</t>
        </is>
      </c>
      <c r="S959" t="n">
        <v>33.57863512885939</v>
      </c>
      <c r="T959" t="n">
        <v>-7.640597654076196</v>
      </c>
      <c r="U959" s="7" t="n">
        <v>9492</v>
      </c>
      <c r="V959" t="inlineStr"/>
      <c r="W959" s="10" t="inlineStr">
        <is>
          <t>https://yakeey.com/fr-ma/achat/biens/188863</t>
        </is>
      </c>
    </row>
    <row r="960">
      <c r="A960" s="2" t="inlineStr">
        <is>
          <t>189259</t>
        </is>
      </c>
      <c r="B960" s="2" t="inlineStr">
        <is>
          <t>FLAT</t>
        </is>
      </c>
      <c r="C960" s="2" t="inlineStr">
        <is>
          <t>Hopitaux</t>
        </is>
      </c>
      <c r="D960" s="2" t="inlineStr">
        <is>
          <t>Casablanca</t>
        </is>
      </c>
      <c r="E960" s="3" t="n">
        <v>1390000</v>
      </c>
      <c r="F960" s="4" t="n">
        <v>103</v>
      </c>
      <c r="G960" s="4" t="n"/>
      <c r="H960" s="4" t="n"/>
      <c r="I960" s="5">
        <f>IFERROR(E960/F960,"")</f>
        <v/>
      </c>
      <c r="J960" s="2" t="n">
        <v>3</v>
      </c>
      <c r="K960" s="2" t="n">
        <v>2</v>
      </c>
      <c r="L960" s="2" t="n"/>
      <c r="M960" s="2" t="n"/>
      <c r="N960" s="2" t="n"/>
      <c r="O960" s="2" t="n"/>
      <c r="P960" s="2" t="inlineStr">
        <is>
          <t>PROCESSING</t>
        </is>
      </c>
      <c r="Q960" s="2" t="n"/>
      <c r="R960" s="2" t="n"/>
      <c r="S960" s="2" t="n">
        <v>33.58190738157245</v>
      </c>
      <c r="T960" s="2" t="n">
        <v>-7.616417896472183</v>
      </c>
      <c r="U960" s="3" t="n">
        <v>7996</v>
      </c>
      <c r="V960" s="2" t="inlineStr"/>
      <c r="W960" s="6" t="inlineStr">
        <is>
          <t>https://yakeey.com/fr-ma/achat/biens/189259</t>
        </is>
      </c>
    </row>
    <row r="961">
      <c r="A961" t="inlineStr">
        <is>
          <t>189305</t>
        </is>
      </c>
      <c r="B961" t="inlineStr">
        <is>
          <t>FLAT</t>
        </is>
      </c>
      <c r="C961" t="inlineStr">
        <is>
          <t>Azhar Oulfa 2</t>
        </is>
      </c>
      <c r="D961" t="inlineStr">
        <is>
          <t>Casablanca</t>
        </is>
      </c>
      <c r="E961" s="7" t="n">
        <v>325026</v>
      </c>
      <c r="F961" s="8" t="n">
        <v>50</v>
      </c>
      <c r="G961" s="8" t="n"/>
      <c r="H961" s="8" t="n"/>
      <c r="I961" s="9">
        <f>IFERROR(E961/F961,"")</f>
        <v/>
      </c>
      <c r="J961" t="n">
        <v>1</v>
      </c>
      <c r="K961" t="n">
        <v>1</v>
      </c>
      <c r="P961" t="inlineStr">
        <is>
          <t>PROCESSING</t>
        </is>
      </c>
      <c r="S961" t="n">
        <v>33.55183863945716</v>
      </c>
      <c r="T961" t="n">
        <v>-7.699087095465975</v>
      </c>
      <c r="U961" s="7" t="n">
        <v>1869</v>
      </c>
      <c r="V961" t="inlineStr"/>
      <c r="W961" s="10" t="inlineStr">
        <is>
          <t>https://yakeey.com/fr-ma/achat/biens/189305</t>
        </is>
      </c>
    </row>
    <row r="962">
      <c r="A962" s="2" t="inlineStr">
        <is>
          <t>189401</t>
        </is>
      </c>
      <c r="B962" s="2" t="inlineStr">
        <is>
          <t>FLAT</t>
        </is>
      </c>
      <c r="C962" s="2" t="inlineStr">
        <is>
          <t>Inara</t>
        </is>
      </c>
      <c r="D962" s="2" t="inlineStr">
        <is>
          <t>Casablanca</t>
        </is>
      </c>
      <c r="E962" s="3" t="n">
        <v>1255000</v>
      </c>
      <c r="F962" s="4" t="n">
        <v>93</v>
      </c>
      <c r="G962" s="4" t="n"/>
      <c r="H962" s="4" t="n"/>
      <c r="I962" s="5">
        <f>IFERROR(E962/F962,"")</f>
        <v/>
      </c>
      <c r="J962" s="2" t="n">
        <v>3</v>
      </c>
      <c r="K962" s="2" t="n">
        <v>2</v>
      </c>
      <c r="L962" s="2" t="n"/>
      <c r="M962" s="2" t="n"/>
      <c r="N962" s="2" t="n"/>
      <c r="O962" s="2" t="n"/>
      <c r="P962" s="2" t="inlineStr">
        <is>
          <t>QUALIFICATION_PENDING</t>
        </is>
      </c>
      <c r="Q962" s="2" t="n"/>
      <c r="R962" s="2" t="n"/>
      <c r="S962" s="2" t="n">
        <v>33.5336980612321</v>
      </c>
      <c r="T962" s="2" t="n">
        <v>-7.602300948307653</v>
      </c>
      <c r="U962" s="3" t="n">
        <v>7220</v>
      </c>
      <c r="V962" s="2" t="inlineStr"/>
      <c r="W962" s="6" t="inlineStr">
        <is>
          <t>https://yakeey.com/fr-ma/achat/biens/189401</t>
        </is>
      </c>
    </row>
    <row r="963">
      <c r="A963" t="inlineStr">
        <is>
          <t>189515</t>
        </is>
      </c>
      <c r="B963" t="inlineStr">
        <is>
          <t>FLAT</t>
        </is>
      </c>
      <c r="C963" t="inlineStr">
        <is>
          <t>Hopitaux</t>
        </is>
      </c>
      <c r="D963" t="inlineStr">
        <is>
          <t>Casablanca</t>
        </is>
      </c>
      <c r="E963" s="7" t="n">
        <v>1936173</v>
      </c>
      <c r="F963" s="8" t="n">
        <v>140</v>
      </c>
      <c r="G963" s="8" t="n"/>
      <c r="H963" s="8" t="n"/>
      <c r="I963" s="9">
        <f>IFERROR(E963/F963,"")</f>
        <v/>
      </c>
      <c r="J963" t="n">
        <v>1</v>
      </c>
      <c r="K963" t="n">
        <v>1</v>
      </c>
      <c r="P963" t="inlineStr">
        <is>
          <t>SUBMITTED</t>
        </is>
      </c>
      <c r="S963" t="n">
        <v>33.57136608113336</v>
      </c>
      <c r="T963" t="n">
        <v>-7.619224016439081</v>
      </c>
      <c r="U963" s="7" t="n">
        <v>11138</v>
      </c>
      <c r="V963" t="inlineStr"/>
      <c r="W963" s="10" t="inlineStr">
        <is>
          <t>https://yakeey.com/fr-ma/achat/biens/189515</t>
        </is>
      </c>
    </row>
    <row r="964">
      <c r="A964" s="2" t="inlineStr">
        <is>
          <t>189596</t>
        </is>
      </c>
      <c r="B964" s="2" t="inlineStr">
        <is>
          <t>FLAT</t>
        </is>
      </c>
      <c r="C964" s="2" t="inlineStr">
        <is>
          <t>Liberte</t>
        </is>
      </c>
      <c r="D964" s="2" t="inlineStr">
        <is>
          <t>Casablanca</t>
        </is>
      </c>
      <c r="E964" s="3" t="n">
        <v>1650000</v>
      </c>
      <c r="F964" s="4" t="n">
        <v>105</v>
      </c>
      <c r="G964" s="4" t="n"/>
      <c r="H964" s="4" t="n"/>
      <c r="I964" s="5">
        <f>IFERROR(E964/F964,"")</f>
        <v/>
      </c>
      <c r="J964" s="2" t="n">
        <v>2</v>
      </c>
      <c r="K964" s="2" t="n">
        <v>2</v>
      </c>
      <c r="L964" s="2" t="n"/>
      <c r="M964" s="2" t="n"/>
      <c r="N964" s="2" t="n"/>
      <c r="O964" s="2" t="n"/>
      <c r="P964" s="2" t="inlineStr">
        <is>
          <t>PROCESSING</t>
        </is>
      </c>
      <c r="Q964" s="2" t="n"/>
      <c r="R964" s="2" t="n"/>
      <c r="S964" s="2" t="n">
        <v>33.5851136633151</v>
      </c>
      <c r="T964" s="2" t="n">
        <v>-7.613782117902268</v>
      </c>
      <c r="U964" s="3" t="n">
        <v>9492</v>
      </c>
      <c r="V964" s="2" t="inlineStr"/>
      <c r="W964" s="6" t="inlineStr">
        <is>
          <t>https://yakeey.com/fr-ma/achat/biens/189596</t>
        </is>
      </c>
    </row>
    <row r="965">
      <c r="A965" t="inlineStr">
        <is>
          <t>189664</t>
        </is>
      </c>
      <c r="B965" t="inlineStr">
        <is>
          <t>FLAT</t>
        </is>
      </c>
      <c r="C965" t="inlineStr">
        <is>
          <t>Almostakbal</t>
        </is>
      </c>
      <c r="D965" t="inlineStr">
        <is>
          <t>Casablanca</t>
        </is>
      </c>
      <c r="E965" s="7" t="n">
        <v>1250000</v>
      </c>
      <c r="F965" s="8" t="n">
        <v>84</v>
      </c>
      <c r="G965" s="8" t="n"/>
      <c r="H965" s="8" t="n"/>
      <c r="I965" s="9">
        <f>IFERROR(E965/F965,"")</f>
        <v/>
      </c>
      <c r="J965" t="n">
        <v>3</v>
      </c>
      <c r="K965" t="n">
        <v>1</v>
      </c>
      <c r="P965" t="inlineStr">
        <is>
          <t>PROCESSING</t>
        </is>
      </c>
      <c r="S965" t="n">
        <v>33.526099265495</v>
      </c>
      <c r="T965" t="n">
        <v>-7.65008702468509</v>
      </c>
      <c r="U965" s="7" t="n">
        <v>7191</v>
      </c>
      <c r="V965" t="inlineStr"/>
      <c r="W965" s="10" t="inlineStr">
        <is>
          <t>https://yakeey.com/fr-ma/achat/biens/189664</t>
        </is>
      </c>
    </row>
    <row r="966">
      <c r="A966" s="2" t="inlineStr">
        <is>
          <t>189669</t>
        </is>
      </c>
      <c r="B966" s="2" t="inlineStr">
        <is>
          <t>FLAT</t>
        </is>
      </c>
      <c r="C966" s="2" t="inlineStr">
        <is>
          <t>Derb Sultan</t>
        </is>
      </c>
      <c r="D966" s="2" t="inlineStr">
        <is>
          <t>Casablanca</t>
        </is>
      </c>
      <c r="E966" s="3" t="n">
        <v>700000</v>
      </c>
      <c r="F966" s="4" t="n">
        <v>80</v>
      </c>
      <c r="G966" s="4" t="n"/>
      <c r="H966" s="4" t="n"/>
      <c r="I966" s="5">
        <f>IFERROR(E966/F966,"")</f>
        <v/>
      </c>
      <c r="J966" s="2" t="n">
        <v>2</v>
      </c>
      <c r="K966" s="2" t="n">
        <v>1</v>
      </c>
      <c r="L966" s="2" t="n"/>
      <c r="M966" s="2" t="n"/>
      <c r="N966" s="2" t="n"/>
      <c r="O966" s="2" t="n"/>
      <c r="P966" s="2" t="inlineStr">
        <is>
          <t>PROCESSING</t>
        </is>
      </c>
      <c r="Q966" s="2" t="n"/>
      <c r="R966" s="2" t="n"/>
      <c r="S966" s="2" t="n">
        <v>33.5739032484198</v>
      </c>
      <c r="T966" s="2" t="n">
        <v>-7.59719106877559</v>
      </c>
      <c r="U966" s="3" t="n">
        <v>4027</v>
      </c>
      <c r="V966" s="2" t="inlineStr"/>
      <c r="W966" s="6" t="inlineStr">
        <is>
          <t>https://yakeey.com/fr-ma/achat/biens/189669</t>
        </is>
      </c>
    </row>
    <row r="967">
      <c r="A967" t="inlineStr">
        <is>
          <t>189685</t>
        </is>
      </c>
      <c r="B967" t="inlineStr">
        <is>
          <t>FLAT</t>
        </is>
      </c>
      <c r="C967" t="inlineStr">
        <is>
          <t>Fida</t>
        </is>
      </c>
      <c r="D967" t="inlineStr">
        <is>
          <t>Casablanca</t>
        </is>
      </c>
      <c r="E967" s="7" t="n">
        <v>1400000</v>
      </c>
      <c r="F967" s="8" t="n">
        <v>83</v>
      </c>
      <c r="G967" s="8" t="n"/>
      <c r="H967" s="8" t="n"/>
      <c r="I967" s="9">
        <f>IFERROR(E967/F967,"")</f>
        <v/>
      </c>
      <c r="J967" t="n">
        <v>4</v>
      </c>
      <c r="K967" t="n">
        <v>1</v>
      </c>
      <c r="P967" t="inlineStr">
        <is>
          <t>PROCESSING</t>
        </is>
      </c>
      <c r="S967" t="n">
        <v>33.56401954256658</v>
      </c>
      <c r="T967" t="n">
        <v>-7.595515030753951</v>
      </c>
      <c r="U967" s="7" t="n">
        <v>8054</v>
      </c>
      <c r="V967" t="inlineStr"/>
      <c r="W967" s="10" t="inlineStr">
        <is>
          <t>https://yakeey.com/fr-ma/achat/biens/189685</t>
        </is>
      </c>
    </row>
    <row r="968">
      <c r="A968" s="2" t="inlineStr">
        <is>
          <t>189791</t>
        </is>
      </c>
      <c r="B968" s="2" t="inlineStr">
        <is>
          <t>FLAT</t>
        </is>
      </c>
      <c r="C968" s="2" t="inlineStr">
        <is>
          <t>Sidi Moumen</t>
        </is>
      </c>
      <c r="D968" s="2" t="inlineStr">
        <is>
          <t>Casablanca</t>
        </is>
      </c>
      <c r="E968" s="3" t="n">
        <v>450000</v>
      </c>
      <c r="F968" s="4" t="n">
        <v>56</v>
      </c>
      <c r="G968" s="4" t="n"/>
      <c r="H968" s="4" t="n"/>
      <c r="I968" s="5">
        <f>IFERROR(E968/F968,"")</f>
        <v/>
      </c>
      <c r="J968" s="2" t="n">
        <v>2</v>
      </c>
      <c r="K968" s="2" t="n">
        <v>1</v>
      </c>
      <c r="L968" s="2" t="n"/>
      <c r="M968" s="2" t="n"/>
      <c r="N968" s="2" t="n"/>
      <c r="O968" s="2" t="n"/>
      <c r="P968" s="2" t="inlineStr">
        <is>
          <t>QUALIFICATION_PENDING</t>
        </is>
      </c>
      <c r="Q968" s="2" t="n"/>
      <c r="R968" s="2" t="n"/>
      <c r="S968" s="2" t="n">
        <v>33.58827266639528</v>
      </c>
      <c r="T968" s="2" t="n">
        <v>-7.527841770523335</v>
      </c>
      <c r="U968" s="3" t="n">
        <v>2588</v>
      </c>
      <c r="V968" s="2" t="inlineStr"/>
      <c r="W968" s="6" t="inlineStr">
        <is>
          <t>https://yakeey.com/fr-ma/achat/biens/189791</t>
        </is>
      </c>
    </row>
    <row r="969">
      <c r="A969" t="inlineStr">
        <is>
          <t>189900</t>
        </is>
      </c>
      <c r="B969" t="inlineStr">
        <is>
          <t>FLAT</t>
        </is>
      </c>
      <c r="C969" t="inlineStr">
        <is>
          <t>Sindibad</t>
        </is>
      </c>
      <c r="D969" t="inlineStr">
        <is>
          <t>Casablanca</t>
        </is>
      </c>
      <c r="E969" s="7" t="n">
        <v>2400000</v>
      </c>
      <c r="F969" s="8" t="n">
        <v>145</v>
      </c>
      <c r="G969" s="8" t="n"/>
      <c r="H969" s="8" t="n"/>
      <c r="I969" s="9">
        <f>IFERROR(E969/F969,"")</f>
        <v/>
      </c>
      <c r="J969" t="n">
        <v>2</v>
      </c>
      <c r="K969" t="n">
        <v>2</v>
      </c>
      <c r="P969" t="inlineStr">
        <is>
          <t>QUALIFICATION_PENDING</t>
        </is>
      </c>
      <c r="S969" t="n">
        <v>33.57119691535883</v>
      </c>
      <c r="T969" t="n">
        <v>-7.690227509162509</v>
      </c>
      <c r="U969" s="7" t="n">
        <v>13807</v>
      </c>
      <c r="V969" t="inlineStr"/>
      <c r="W969" s="10" t="inlineStr">
        <is>
          <t>https://yakeey.com/fr-ma/achat/biens/189900</t>
        </is>
      </c>
    </row>
    <row r="970">
      <c r="A970" s="2" t="inlineStr">
        <is>
          <t>187340</t>
        </is>
      </c>
      <c r="B970" s="2" t="inlineStr">
        <is>
          <t>HOUSE</t>
        </is>
      </c>
      <c r="C970" s="2" t="inlineStr">
        <is>
          <t>Derb Sultan</t>
        </is>
      </c>
      <c r="D970" s="2" t="inlineStr">
        <is>
          <t>Casablanca</t>
        </is>
      </c>
      <c r="E970" s="3" t="n">
        <v>5000000</v>
      </c>
      <c r="F970" s="4" t="n">
        <v>202</v>
      </c>
      <c r="G970" s="4" t="n"/>
      <c r="H970" s="4" t="n"/>
      <c r="I970" s="5">
        <f>IFERROR(E970/F970,"")</f>
        <v/>
      </c>
      <c r="J970" s="2" t="n">
        <v>6</v>
      </c>
      <c r="K970" s="2" t="n">
        <v>3</v>
      </c>
      <c r="L970" s="2" t="n"/>
      <c r="M970" s="2" t="n"/>
      <c r="N970" s="2" t="n"/>
      <c r="O970" s="2" t="n"/>
      <c r="P970" s="2" t="inlineStr">
        <is>
          <t>PROCESSING</t>
        </is>
      </c>
      <c r="Q970" s="2" t="n"/>
      <c r="R970" s="2" t="n"/>
      <c r="S970" s="2" t="n">
        <v>33.57244778549049</v>
      </c>
      <c r="T970" s="2" t="n">
        <v>-7.60773603108455</v>
      </c>
      <c r="U970" s="3" t="n">
        <v>28765</v>
      </c>
      <c r="V970" s="2" t="inlineStr"/>
      <c r="W970" s="6" t="inlineStr">
        <is>
          <t>https://yakeey.com/fr-ma/achat/biens/187340</t>
        </is>
      </c>
    </row>
    <row r="971">
      <c r="A971" t="inlineStr">
        <is>
          <t>187893</t>
        </is>
      </c>
      <c r="B971" t="inlineStr">
        <is>
          <t>HOUSE</t>
        </is>
      </c>
      <c r="C971" t="inlineStr">
        <is>
          <t>Hopitaux</t>
        </is>
      </c>
      <c r="D971" t="inlineStr">
        <is>
          <t>Casablanca</t>
        </is>
      </c>
      <c r="E971" s="7" t="n">
        <v>1780000</v>
      </c>
      <c r="F971" s="8" t="n">
        <v>291</v>
      </c>
      <c r="G971" s="8" t="n"/>
      <c r="H971" s="8" t="n"/>
      <c r="I971" s="9">
        <f>IFERROR(E971/F971,"")</f>
        <v/>
      </c>
      <c r="J971" t="n">
        <v>6</v>
      </c>
      <c r="K971" t="n">
        <v>2</v>
      </c>
      <c r="P971" t="inlineStr">
        <is>
          <t>PROCESSING</t>
        </is>
      </c>
      <c r="S971" t="n">
        <v>33.57187689856625</v>
      </c>
      <c r="T971" t="n">
        <v>-7.618767310625008</v>
      </c>
      <c r="U971" s="7" t="n">
        <v>10240</v>
      </c>
      <c r="V971" t="inlineStr"/>
      <c r="W971" s="10" t="inlineStr">
        <is>
          <t>https://yakeey.com/fr-ma/achat/biens/187893</t>
        </is>
      </c>
    </row>
    <row r="972">
      <c r="A972" s="2" t="inlineStr">
        <is>
          <t>188341</t>
        </is>
      </c>
      <c r="B972" s="2" t="inlineStr">
        <is>
          <t>HOUSE</t>
        </is>
      </c>
      <c r="C972" s="2" t="inlineStr">
        <is>
          <t>Sidi Moumen</t>
        </is>
      </c>
      <c r="D972" s="2" t="inlineStr">
        <is>
          <t>Casablanca</t>
        </is>
      </c>
      <c r="E972" s="3" t="n">
        <v>1350000</v>
      </c>
      <c r="F972" s="4" t="n">
        <v>215</v>
      </c>
      <c r="G972" s="4" t="n"/>
      <c r="H972" s="4" t="n"/>
      <c r="I972" s="5">
        <f>IFERROR(E972/F972,"")</f>
        <v/>
      </c>
      <c r="J972" s="2" t="n">
        <v>4</v>
      </c>
      <c r="K972" s="2" t="n">
        <v>2</v>
      </c>
      <c r="L972" s="2" t="n"/>
      <c r="M972" s="2" t="n"/>
      <c r="N972" s="2" t="n"/>
      <c r="O972" s="2" t="n"/>
      <c r="P972" s="2" t="inlineStr">
        <is>
          <t>ASSIGNMENT_PENDING</t>
        </is>
      </c>
      <c r="Q972" s="2" t="n"/>
      <c r="R972" s="2" t="n"/>
      <c r="S972" s="2" t="n">
        <v>33.5809777828102</v>
      </c>
      <c r="T972" s="2" t="n">
        <v>-7.52441048964052</v>
      </c>
      <c r="U972" s="3" t="n">
        <v>7766</v>
      </c>
      <c r="V972" s="2" t="inlineStr"/>
      <c r="W972" s="6" t="inlineStr">
        <is>
          <t>https://yakeey.com/fr-ma/achat/biens/188341</t>
        </is>
      </c>
    </row>
    <row r="973">
      <c r="A973" t="inlineStr">
        <is>
          <t>142439</t>
        </is>
      </c>
      <c r="B973" t="inlineStr">
        <is>
          <t>ISOLATED_HOUSE</t>
        </is>
      </c>
      <c r="C973" t="inlineStr">
        <is>
          <t>Oulfa</t>
        </is>
      </c>
      <c r="D973" t="inlineStr">
        <is>
          <t>Casablanca</t>
        </is>
      </c>
      <c r="E973" s="7" t="n">
        <v>3000000</v>
      </c>
      <c r="F973" s="8" t="n">
        <v>99</v>
      </c>
      <c r="G973" s="8" t="n"/>
      <c r="H973" s="8" t="n"/>
      <c r="I973" s="9">
        <f>IFERROR(E973/F973,"")</f>
        <v/>
      </c>
      <c r="J973" t="n">
        <v>7</v>
      </c>
      <c r="K973" t="n">
        <v>3</v>
      </c>
      <c r="P973" t="inlineStr">
        <is>
          <t>LISTED</t>
        </is>
      </c>
      <c r="S973" t="n">
        <v>33.55530236726433</v>
      </c>
      <c r="T973" t="n">
        <v>-7.675578578135188</v>
      </c>
      <c r="U973" s="7" t="n">
        <v>17259</v>
      </c>
      <c r="V973" t="inlineStr"/>
      <c r="W973" s="10" t="inlineStr">
        <is>
          <t>https://yakeey.com/fr-ma/achat/biens/142439</t>
        </is>
      </c>
    </row>
    <row r="974">
      <c r="A974" s="2" t="inlineStr">
        <is>
          <t>155038</t>
        </is>
      </c>
      <c r="B974" s="2" t="inlineStr">
        <is>
          <t>ISOLATED_HOUSE</t>
        </is>
      </c>
      <c r="C974" s="2" t="inlineStr">
        <is>
          <t>Sidi Othmane</t>
        </is>
      </c>
      <c r="D974" s="2" t="inlineStr">
        <is>
          <t>Casablanca</t>
        </is>
      </c>
      <c r="E974" s="3" t="n">
        <v>2200000</v>
      </c>
      <c r="F974" s="4" t="n">
        <v>68</v>
      </c>
      <c r="G974" s="4" t="n"/>
      <c r="H974" s="4" t="n"/>
      <c r="I974" s="5">
        <f>IFERROR(E974/F974,"")</f>
        <v/>
      </c>
      <c r="J974" s="2" t="n">
        <v>8</v>
      </c>
      <c r="K974" s="2" t="n">
        <v>2</v>
      </c>
      <c r="L974" s="2" t="n"/>
      <c r="M974" s="2" t="n"/>
      <c r="N974" s="2" t="n"/>
      <c r="O974" s="2" t="n"/>
      <c r="P974" s="2" t="inlineStr">
        <is>
          <t>LISTED</t>
        </is>
      </c>
      <c r="Q974" s="2" t="n"/>
      <c r="R974" s="2" t="n"/>
      <c r="S974" s="2" t="n">
        <v>33.55588527603422</v>
      </c>
      <c r="T974" s="2" t="n">
        <v>-7.559408275358685</v>
      </c>
      <c r="U974" s="3" t="n">
        <v>12656</v>
      </c>
      <c r="V974" s="2" t="inlineStr"/>
      <c r="W974" s="6" t="inlineStr">
        <is>
          <t>https://yakeey.com/fr-ma/achat/biens/155038</t>
        </is>
      </c>
    </row>
    <row r="975">
      <c r="A975" t="inlineStr">
        <is>
          <t>101337</t>
        </is>
      </c>
      <c r="B975" t="inlineStr">
        <is>
          <t>OFFICE</t>
        </is>
      </c>
      <c r="C975" t="inlineStr">
        <is>
          <t>Hay Mohammadi</t>
        </is>
      </c>
      <c r="D975" t="inlineStr">
        <is>
          <t>Casablanca</t>
        </is>
      </c>
      <c r="E975" s="7" t="n">
        <v>1060000</v>
      </c>
      <c r="F975" s="8" t="n">
        <v>71</v>
      </c>
      <c r="G975" s="8" t="n"/>
      <c r="H975" s="8" t="n"/>
      <c r="I975" s="9">
        <f>IFERROR(E975/F975,"")</f>
        <v/>
      </c>
      <c r="P975" t="inlineStr">
        <is>
          <t>LISTED</t>
        </is>
      </c>
      <c r="S975" t="n">
        <v>33.59816789138429</v>
      </c>
      <c r="T975" t="n">
        <v>-7.572789190408273</v>
      </c>
      <c r="U975" s="7" t="n">
        <v>6098</v>
      </c>
      <c r="V975" t="inlineStr"/>
      <c r="W975" s="10" t="inlineStr">
        <is>
          <t>https://yakeey.com/fr-ma/achat/biens/101337</t>
        </is>
      </c>
    </row>
    <row r="976">
      <c r="A976" s="2" t="inlineStr">
        <is>
          <t>106707</t>
        </is>
      </c>
      <c r="B976" s="2" t="inlineStr">
        <is>
          <t>OFFICE</t>
        </is>
      </c>
      <c r="C976" s="2" t="inlineStr">
        <is>
          <t>Sidi Moumen</t>
        </is>
      </c>
      <c r="D976" s="2" t="inlineStr">
        <is>
          <t>Casablanca</t>
        </is>
      </c>
      <c r="E976" s="3" t="n">
        <v>1200000</v>
      </c>
      <c r="F976" s="4" t="n">
        <v>96</v>
      </c>
      <c r="G976" s="4" t="n"/>
      <c r="H976" s="4" t="n"/>
      <c r="I976" s="5">
        <f>IFERROR(E976/F976,"")</f>
        <v/>
      </c>
      <c r="J976" s="2" t="n"/>
      <c r="K976" s="2" t="n"/>
      <c r="L976" s="2" t="n"/>
      <c r="M976" s="2" t="n"/>
      <c r="N976" s="2" t="n"/>
      <c r="O976" s="2" t="n"/>
      <c r="P976" s="2" t="inlineStr">
        <is>
          <t>LISTED</t>
        </is>
      </c>
      <c r="Q976" s="2" t="n"/>
      <c r="R976" s="2" t="n"/>
      <c r="S976" s="2" t="n">
        <v>33.58091720290536</v>
      </c>
      <c r="T976" s="2" t="n">
        <v>-7.543117002181987</v>
      </c>
      <c r="U976" s="3" t="n">
        <v>6903</v>
      </c>
      <c r="V976" s="2" t="inlineStr"/>
      <c r="W976" s="6" t="inlineStr">
        <is>
          <t>https://yakeey.com/fr-ma/achat/biens/106707</t>
        </is>
      </c>
    </row>
    <row r="977">
      <c r="A977" t="inlineStr">
        <is>
          <t>10843</t>
        </is>
      </c>
      <c r="B977" t="inlineStr">
        <is>
          <t>OFFICE</t>
        </is>
      </c>
      <c r="C977" t="inlineStr">
        <is>
          <t>Plateau</t>
        </is>
      </c>
      <c r="D977" t="inlineStr">
        <is>
          <t>Casablanca</t>
        </is>
      </c>
      <c r="E977" s="7" t="n">
        <v>1500000</v>
      </c>
      <c r="F977" s="8" t="n">
        <v>124</v>
      </c>
      <c r="G977" s="8" t="n"/>
      <c r="H977" s="8" t="n"/>
      <c r="I977" s="9">
        <f>IFERROR(E977/F977,"")</f>
        <v/>
      </c>
      <c r="P977" t="inlineStr">
        <is>
          <t>LISTED</t>
        </is>
      </c>
      <c r="S977" t="n">
        <v>33.56903809239612</v>
      </c>
      <c r="T977" t="n">
        <v>-7.625955898323541</v>
      </c>
      <c r="U977" s="7" t="n">
        <v>8629</v>
      </c>
      <c r="V977" t="inlineStr"/>
      <c r="W977" s="10" t="inlineStr">
        <is>
          <t>https://yakeey.com/fr-ma/achat/biens/10843</t>
        </is>
      </c>
    </row>
    <row r="978">
      <c r="A978" s="2" t="inlineStr">
        <is>
          <t>108456</t>
        </is>
      </c>
      <c r="B978" s="2" t="inlineStr">
        <is>
          <t>OFFICE</t>
        </is>
      </c>
      <c r="C978" s="2" t="inlineStr">
        <is>
          <t>Lusitania</t>
        </is>
      </c>
      <c r="D978" s="2" t="inlineStr">
        <is>
          <t>Casablanca</t>
        </is>
      </c>
      <c r="E978" s="3" t="n">
        <v>1344000</v>
      </c>
      <c r="F978" s="4" t="n">
        <v>64</v>
      </c>
      <c r="G978" s="4" t="n"/>
      <c r="H978" s="4" t="n"/>
      <c r="I978" s="5">
        <f>IFERROR(E978/F978,"")</f>
        <v/>
      </c>
      <c r="J978" s="2" t="n"/>
      <c r="K978" s="2" t="n"/>
      <c r="L978" s="2" t="n"/>
      <c r="M978" s="2" t="n"/>
      <c r="N978" s="2" t="n"/>
      <c r="O978" s="2" t="n"/>
      <c r="P978" s="2" t="inlineStr">
        <is>
          <t>LISTED</t>
        </is>
      </c>
      <c r="Q978" s="2" t="n"/>
      <c r="R978" s="2" t="n"/>
      <c r="S978" s="2" t="n">
        <v>33.59070651082241</v>
      </c>
      <c r="T978" s="2" t="n">
        <v>-7.62719108761469</v>
      </c>
      <c r="U978" s="3" t="n">
        <v>7732</v>
      </c>
      <c r="V978" s="2" t="inlineStr"/>
      <c r="W978" s="6" t="inlineStr">
        <is>
          <t>https://yakeey.com/fr-ma/achat/biens/108456</t>
        </is>
      </c>
    </row>
    <row r="979">
      <c r="A979" t="inlineStr">
        <is>
          <t>113523</t>
        </is>
      </c>
      <c r="B979" t="inlineStr">
        <is>
          <t>OFFICE</t>
        </is>
      </c>
      <c r="C979" t="inlineStr">
        <is>
          <t>Plateau</t>
        </is>
      </c>
      <c r="D979" t="inlineStr">
        <is>
          <t>Casablanca</t>
        </is>
      </c>
      <c r="E979" s="7" t="n">
        <v>670000</v>
      </c>
      <c r="F979" s="8" t="n">
        <v>70</v>
      </c>
      <c r="G979" s="8" t="n"/>
      <c r="H979" s="8" t="n"/>
      <c r="I979" s="9">
        <f>IFERROR(E979/F979,"")</f>
        <v/>
      </c>
      <c r="P979" t="inlineStr">
        <is>
          <t>LISTED</t>
        </is>
      </c>
      <c r="S979" t="n">
        <v>33.57299239922125</v>
      </c>
      <c r="T979" t="n">
        <v>-7.626996585448555</v>
      </c>
      <c r="U979" s="7" t="n">
        <v>3854</v>
      </c>
      <c r="V979" t="inlineStr"/>
      <c r="W979" s="10" t="inlineStr">
        <is>
          <t>https://yakeey.com/fr-ma/achat/biens/113523</t>
        </is>
      </c>
    </row>
    <row r="980">
      <c r="A980" s="2" t="inlineStr">
        <is>
          <t>116763</t>
        </is>
      </c>
      <c r="B980" s="2" t="inlineStr">
        <is>
          <t>OFFICE</t>
        </is>
      </c>
      <c r="C980" s="2" t="inlineStr">
        <is>
          <t>Bourgogne (Anfa)</t>
        </is>
      </c>
      <c r="D980" s="2" t="inlineStr">
        <is>
          <t>Casablanca</t>
        </is>
      </c>
      <c r="E980" s="3" t="n">
        <v>2850000</v>
      </c>
      <c r="F980" s="4" t="n">
        <v>145</v>
      </c>
      <c r="G980" s="4" t="n"/>
      <c r="H980" s="4" t="n"/>
      <c r="I980" s="5">
        <f>IFERROR(E980/F980,"")</f>
        <v/>
      </c>
      <c r="J980" s="2" t="n"/>
      <c r="K980" s="2" t="n"/>
      <c r="L980" s="2" t="n"/>
      <c r="M980" s="2" t="n"/>
      <c r="N980" s="2" t="n"/>
      <c r="O980" s="2" t="n"/>
      <c r="P980" s="2" t="inlineStr">
        <is>
          <t>LISTED</t>
        </is>
      </c>
      <c r="Q980" s="2" t="n"/>
      <c r="R980" s="2" t="n"/>
      <c r="S980" s="2" t="n">
        <v>33.59817633948008</v>
      </c>
      <c r="T980" s="2" t="n">
        <v>-7.631909789555143</v>
      </c>
      <c r="U980" s="3" t="n">
        <v>16396</v>
      </c>
      <c r="V980" s="2" t="inlineStr"/>
      <c r="W980" s="6" t="inlineStr">
        <is>
          <t>https://yakeey.com/fr-ma/achat/biens/116763</t>
        </is>
      </c>
    </row>
    <row r="981">
      <c r="A981" t="inlineStr">
        <is>
          <t>117357</t>
        </is>
      </c>
      <c r="B981" t="inlineStr">
        <is>
          <t>OFFICE</t>
        </is>
      </c>
      <c r="C981" t="inlineStr">
        <is>
          <t>Sidi Bernoussi</t>
        </is>
      </c>
      <c r="D981" t="inlineStr">
        <is>
          <t>Casablanca</t>
        </is>
      </c>
      <c r="E981" s="7" t="n">
        <v>2400000</v>
      </c>
      <c r="F981" s="8" t="n">
        <v>199</v>
      </c>
      <c r="G981" s="8" t="n"/>
      <c r="H981" s="8" t="n"/>
      <c r="I981" s="9">
        <f>IFERROR(E981/F981,"")</f>
        <v/>
      </c>
      <c r="P981" t="inlineStr">
        <is>
          <t>LISTED</t>
        </is>
      </c>
      <c r="S981" t="n">
        <v>33.61876829577455</v>
      </c>
      <c r="T981" t="n">
        <v>-7.493825287068888</v>
      </c>
      <c r="U981" s="7" t="n">
        <v>13807</v>
      </c>
      <c r="V981" t="inlineStr"/>
      <c r="W981" s="10" t="inlineStr">
        <is>
          <t>https://yakeey.com/fr-ma/achat/biens/117357</t>
        </is>
      </c>
    </row>
    <row r="982">
      <c r="A982" s="2" t="inlineStr">
        <is>
          <t>119737</t>
        </is>
      </c>
      <c r="B982" s="2" t="inlineStr">
        <is>
          <t>OFFICE</t>
        </is>
      </c>
      <c r="C982" s="2" t="inlineStr">
        <is>
          <t>Racine</t>
        </is>
      </c>
      <c r="D982" s="2" t="inlineStr">
        <is>
          <t>Casablanca</t>
        </is>
      </c>
      <c r="E982" s="3" t="n">
        <v>2300000</v>
      </c>
      <c r="F982" s="4" t="n">
        <v>105</v>
      </c>
      <c r="G982" s="4" t="n"/>
      <c r="H982" s="4" t="n"/>
      <c r="I982" s="5">
        <f>IFERROR(E982/F982,"")</f>
        <v/>
      </c>
      <c r="J982" s="2" t="n"/>
      <c r="K982" s="2" t="n"/>
      <c r="L982" s="2" t="n"/>
      <c r="M982" s="2" t="n"/>
      <c r="N982" s="2" t="n"/>
      <c r="O982" s="2" t="n"/>
      <c r="P982" s="2" t="inlineStr">
        <is>
          <t>LISTED</t>
        </is>
      </c>
      <c r="Q982" s="2" t="n"/>
      <c r="R982" s="2" t="n"/>
      <c r="S982" s="2" t="n">
        <v>33.5884491706222</v>
      </c>
      <c r="T982" s="2" t="n">
        <v>-7.639619246105781</v>
      </c>
      <c r="U982" s="3" t="n">
        <v>13232</v>
      </c>
      <c r="V982" s="2" t="inlineStr"/>
      <c r="W982" s="6" t="inlineStr">
        <is>
          <t>https://yakeey.com/fr-ma/achat/biens/119737</t>
        </is>
      </c>
    </row>
    <row r="983">
      <c r="A983" t="inlineStr">
        <is>
          <t>123499</t>
        </is>
      </c>
      <c r="B983" t="inlineStr">
        <is>
          <t>OFFICE</t>
        </is>
      </c>
      <c r="C983" t="inlineStr">
        <is>
          <t>Oulfa</t>
        </is>
      </c>
      <c r="D983" t="inlineStr">
        <is>
          <t>Casablanca</t>
        </is>
      </c>
      <c r="E983" s="7" t="n">
        <v>1580000</v>
      </c>
      <c r="F983" s="8" t="n">
        <v>84</v>
      </c>
      <c r="G983" s="8" t="n"/>
      <c r="H983" s="8" t="n"/>
      <c r="I983" s="9">
        <f>IFERROR(E983/F983,"")</f>
        <v/>
      </c>
      <c r="P983" t="inlineStr">
        <is>
          <t>LISTED</t>
        </is>
      </c>
      <c r="S983" t="n">
        <v>33.55042700973897</v>
      </c>
      <c r="T983" t="n">
        <v>-7.672928117031605</v>
      </c>
      <c r="U983" s="7" t="n">
        <v>9089</v>
      </c>
      <c r="V983" t="inlineStr"/>
      <c r="W983" s="10" t="inlineStr">
        <is>
          <t>https://yakeey.com/fr-ma/achat/biens/123499</t>
        </is>
      </c>
    </row>
    <row r="984">
      <c r="A984" s="2" t="inlineStr">
        <is>
          <t>124638</t>
        </is>
      </c>
      <c r="B984" s="2" t="inlineStr">
        <is>
          <t>OFFICE</t>
        </is>
      </c>
      <c r="C984" s="2" t="inlineStr">
        <is>
          <t>Sidi Maarouf</t>
        </is>
      </c>
      <c r="D984" s="2" t="inlineStr">
        <is>
          <t>Casablanca</t>
        </is>
      </c>
      <c r="E984" s="3" t="n">
        <v>750000</v>
      </c>
      <c r="F984" s="4" t="n">
        <v>43</v>
      </c>
      <c r="G984" s="4" t="n"/>
      <c r="H984" s="4" t="n"/>
      <c r="I984" s="5">
        <f>IFERROR(E984/F984,"")</f>
        <v/>
      </c>
      <c r="J984" s="2" t="n"/>
      <c r="K984" s="2" t="n"/>
      <c r="L984" s="2" t="n"/>
      <c r="M984" s="2" t="n"/>
      <c r="N984" s="2" t="n"/>
      <c r="O984" s="2" t="n"/>
      <c r="P984" s="2" t="inlineStr">
        <is>
          <t>LISTED</t>
        </is>
      </c>
      <c r="Q984" s="2" t="n"/>
      <c r="R984" s="2" t="n"/>
      <c r="S984" s="2" t="n">
        <v>33.51461903111887</v>
      </c>
      <c r="T984" s="2" t="n">
        <v>-7.657790476797181</v>
      </c>
      <c r="U984" s="3" t="n">
        <v>4314</v>
      </c>
      <c r="V984" s="2" t="inlineStr"/>
      <c r="W984" s="6" t="inlineStr">
        <is>
          <t>https://yakeey.com/fr-ma/achat/biens/124638</t>
        </is>
      </c>
    </row>
    <row r="985">
      <c r="A985" t="inlineStr">
        <is>
          <t>126023</t>
        </is>
      </c>
      <c r="B985" t="inlineStr">
        <is>
          <t>OFFICE</t>
        </is>
      </c>
      <c r="C985" t="inlineStr">
        <is>
          <t>Bourgogne (Anfa)</t>
        </is>
      </c>
      <c r="D985" t="inlineStr">
        <is>
          <t>Casablanca</t>
        </is>
      </c>
      <c r="E985" s="7" t="n">
        <v>1300000</v>
      </c>
      <c r="F985" s="8" t="n">
        <v>86</v>
      </c>
      <c r="G985" s="8" t="n"/>
      <c r="H985" s="8" t="n"/>
      <c r="I985" s="9">
        <f>IFERROR(E985/F985,"")</f>
        <v/>
      </c>
      <c r="P985" t="inlineStr">
        <is>
          <t>LISTED</t>
        </is>
      </c>
      <c r="S985" t="n">
        <v>33.59763949072105</v>
      </c>
      <c r="T985" t="n">
        <v>-7.644051257602273</v>
      </c>
      <c r="U985" s="7" t="n">
        <v>7478</v>
      </c>
      <c r="V985" t="inlineStr"/>
      <c r="W985" s="10" t="inlineStr">
        <is>
          <t>https://yakeey.com/fr-ma/achat/biens/126023</t>
        </is>
      </c>
    </row>
    <row r="986">
      <c r="A986" s="2" t="inlineStr">
        <is>
          <t>127050</t>
        </is>
      </c>
      <c r="B986" s="2" t="inlineStr">
        <is>
          <t>OFFICE</t>
        </is>
      </c>
      <c r="C986" s="2" t="inlineStr">
        <is>
          <t>Quartier De Parc Et Place</t>
        </is>
      </c>
      <c r="D986" s="2" t="inlineStr">
        <is>
          <t>Casablanca</t>
        </is>
      </c>
      <c r="E986" s="3" t="n">
        <v>990000</v>
      </c>
      <c r="F986" s="4" t="n">
        <v>112</v>
      </c>
      <c r="G986" s="4" t="n"/>
      <c r="H986" s="4" t="n"/>
      <c r="I986" s="5">
        <f>IFERROR(E986/F986,"")</f>
        <v/>
      </c>
      <c r="J986" s="2" t="n"/>
      <c r="K986" s="2" t="n"/>
      <c r="L986" s="2" t="n"/>
      <c r="M986" s="2" t="n"/>
      <c r="N986" s="2" t="n"/>
      <c r="O986" s="2" t="n"/>
      <c r="P986" s="2" t="inlineStr">
        <is>
          <t>LISTED</t>
        </is>
      </c>
      <c r="Q986" s="2" t="n"/>
      <c r="R986" s="2" t="n"/>
      <c r="S986" s="2" t="n">
        <v>33.59354807496028</v>
      </c>
      <c r="T986" s="2" t="n">
        <v>-7.620977035402462</v>
      </c>
      <c r="U986" s="3" t="n">
        <v>5695</v>
      </c>
      <c r="V986" s="2" t="inlineStr"/>
      <c r="W986" s="6" t="inlineStr">
        <is>
          <t>https://yakeey.com/fr-ma/achat/biens/127050</t>
        </is>
      </c>
    </row>
    <row r="987">
      <c r="A987" t="inlineStr">
        <is>
          <t>137437</t>
        </is>
      </c>
      <c r="B987" t="inlineStr">
        <is>
          <t>OFFICE</t>
        </is>
      </c>
      <c r="C987" t="inlineStr">
        <is>
          <t>Sidi Maarouf</t>
        </is>
      </c>
      <c r="D987" t="inlineStr">
        <is>
          <t>Casablanca</t>
        </is>
      </c>
      <c r="E987" s="7" t="n">
        <v>6300000</v>
      </c>
      <c r="F987" s="8" t="n">
        <v>323</v>
      </c>
      <c r="G987" s="8" t="n"/>
      <c r="H987" s="8" t="n"/>
      <c r="I987" s="9">
        <f>IFERROR(E987/F987,"")</f>
        <v/>
      </c>
      <c r="P987" t="inlineStr">
        <is>
          <t>LISTED</t>
        </is>
      </c>
      <c r="S987" t="n">
        <v>33.54140436487648</v>
      </c>
      <c r="T987" t="n">
        <v>-7.642952830938881</v>
      </c>
      <c r="U987" s="7" t="n">
        <v>36244</v>
      </c>
      <c r="V987" t="inlineStr"/>
      <c r="W987" s="10" t="inlineStr">
        <is>
          <t>https://yakeey.com/fr-ma/achat/biens/137437</t>
        </is>
      </c>
    </row>
    <row r="988">
      <c r="A988" s="2" t="inlineStr">
        <is>
          <t>142796</t>
        </is>
      </c>
      <c r="B988" s="2" t="inlineStr">
        <is>
          <t>OFFICE</t>
        </is>
      </c>
      <c r="C988" s="2" t="inlineStr">
        <is>
          <t>Ain Sebaa</t>
        </is>
      </c>
      <c r="D988" s="2" t="inlineStr">
        <is>
          <t>Casablanca</t>
        </is>
      </c>
      <c r="E988" s="3" t="n">
        <v>1078000</v>
      </c>
      <c r="F988" s="4" t="n">
        <v>98</v>
      </c>
      <c r="G988" s="4" t="n"/>
      <c r="H988" s="4" t="n"/>
      <c r="I988" s="5">
        <f>IFERROR(E988/F988,"")</f>
        <v/>
      </c>
      <c r="J988" s="2" t="n"/>
      <c r="K988" s="2" t="n"/>
      <c r="L988" s="2" t="n"/>
      <c r="M988" s="2" t="n"/>
      <c r="N988" s="2" t="n"/>
      <c r="O988" s="2" t="n"/>
      <c r="P988" s="2" t="inlineStr">
        <is>
          <t>LISTED</t>
        </is>
      </c>
      <c r="Q988" s="2" t="n"/>
      <c r="R988" s="2" t="n"/>
      <c r="S988" s="2" t="n">
        <v>33.59614833150572</v>
      </c>
      <c r="T988" s="2" t="n">
        <v>-7.543775419551901</v>
      </c>
      <c r="U988" s="3" t="n">
        <v>6201</v>
      </c>
      <c r="V988" s="2" t="inlineStr"/>
      <c r="W988" s="6" t="inlineStr">
        <is>
          <t>https://yakeey.com/fr-ma/achat/biens/142796</t>
        </is>
      </c>
    </row>
    <row r="989">
      <c r="A989" t="inlineStr">
        <is>
          <t>143158</t>
        </is>
      </c>
      <c r="B989" t="inlineStr">
        <is>
          <t>OFFICE</t>
        </is>
      </c>
      <c r="C989" t="inlineStr">
        <is>
          <t>Ain Sebaa</t>
        </is>
      </c>
      <c r="D989" t="inlineStr">
        <is>
          <t>Casablanca</t>
        </is>
      </c>
      <c r="E989" s="7" t="n">
        <v>1035500</v>
      </c>
      <c r="F989" s="8" t="n">
        <v>95</v>
      </c>
      <c r="G989" s="8" t="n"/>
      <c r="H989" s="8" t="n"/>
      <c r="I989" s="9">
        <f>IFERROR(E989/F989,"")</f>
        <v/>
      </c>
      <c r="P989" t="inlineStr">
        <is>
          <t>LISTED</t>
        </is>
      </c>
      <c r="S989" t="n">
        <v>33.59634208746665</v>
      </c>
      <c r="T989" t="n">
        <v>-7.544274450747325</v>
      </c>
      <c r="U989" s="7" t="n">
        <v>5957</v>
      </c>
      <c r="V989" t="inlineStr"/>
      <c r="W989" s="10" t="inlineStr">
        <is>
          <t>https://yakeey.com/fr-ma/achat/biens/143158</t>
        </is>
      </c>
    </row>
    <row r="990">
      <c r="A990" s="2" t="inlineStr">
        <is>
          <t>143162</t>
        </is>
      </c>
      <c r="B990" s="2" t="inlineStr">
        <is>
          <t>OFFICE</t>
        </is>
      </c>
      <c r="C990" s="2" t="inlineStr">
        <is>
          <t>Ain Sebaa</t>
        </is>
      </c>
      <c r="D990" s="2" t="inlineStr">
        <is>
          <t>Casablanca</t>
        </is>
      </c>
      <c r="E990" s="3" t="n">
        <v>915600</v>
      </c>
      <c r="F990" s="4" t="n">
        <v>84</v>
      </c>
      <c r="G990" s="4" t="n"/>
      <c r="H990" s="4" t="n"/>
      <c r="I990" s="5">
        <f>IFERROR(E990/F990,"")</f>
        <v/>
      </c>
      <c r="J990" s="2" t="n"/>
      <c r="K990" s="2" t="n"/>
      <c r="L990" s="2" t="n"/>
      <c r="M990" s="2" t="n"/>
      <c r="N990" s="2" t="n"/>
      <c r="O990" s="2" t="n"/>
      <c r="P990" s="2" t="inlineStr">
        <is>
          <t>LISTED</t>
        </is>
      </c>
      <c r="Q990" s="2" t="n"/>
      <c r="R990" s="2" t="n"/>
      <c r="S990" s="2" t="n">
        <v>33.59794906331537</v>
      </c>
      <c r="T990" s="2" t="n">
        <v>-7.544852592917627</v>
      </c>
      <c r="U990" s="3" t="n">
        <v>5267</v>
      </c>
      <c r="V990" s="2" t="inlineStr"/>
      <c r="W990" s="6" t="inlineStr">
        <is>
          <t>https://yakeey.com/fr-ma/achat/biens/143162</t>
        </is>
      </c>
    </row>
    <row r="991">
      <c r="A991" t="inlineStr">
        <is>
          <t>150539</t>
        </is>
      </c>
      <c r="B991" t="inlineStr">
        <is>
          <t>OFFICE</t>
        </is>
      </c>
      <c r="C991" t="inlineStr">
        <is>
          <t>Hopitaux</t>
        </is>
      </c>
      <c r="D991" t="inlineStr">
        <is>
          <t>Casablanca</t>
        </is>
      </c>
      <c r="E991" s="7" t="n">
        <v>1700000</v>
      </c>
      <c r="F991" s="8" t="n">
        <v>84</v>
      </c>
      <c r="G991" s="8" t="n"/>
      <c r="H991" s="8" t="n"/>
      <c r="I991" s="9">
        <f>IFERROR(E991/F991,"")</f>
        <v/>
      </c>
      <c r="P991" t="inlineStr">
        <is>
          <t>LISTED</t>
        </is>
      </c>
      <c r="S991" t="n">
        <v>33.58389962427182</v>
      </c>
      <c r="T991" t="n">
        <v>-7.615862631669808</v>
      </c>
      <c r="U991" s="7" t="n">
        <v>9780</v>
      </c>
      <c r="V991" t="inlineStr"/>
      <c r="W991" s="10" t="inlineStr">
        <is>
          <t>https://yakeey.com/fr-ma/achat/biens/150539</t>
        </is>
      </c>
    </row>
    <row r="992">
      <c r="A992" s="2" t="inlineStr">
        <is>
          <t>152889</t>
        </is>
      </c>
      <c r="B992" s="2" t="inlineStr">
        <is>
          <t>OFFICE</t>
        </is>
      </c>
      <c r="C992" s="2" t="inlineStr">
        <is>
          <t>Derb Omar</t>
        </is>
      </c>
      <c r="D992" s="2" t="inlineStr">
        <is>
          <t>Casablanca</t>
        </is>
      </c>
      <c r="E992" s="3" t="n">
        <v>13000000</v>
      </c>
      <c r="F992" s="4" t="n">
        <v>1430</v>
      </c>
      <c r="G992" s="4" t="n"/>
      <c r="H992" s="4" t="n"/>
      <c r="I992" s="5">
        <f>IFERROR(E992/F992,"")</f>
        <v/>
      </c>
      <c r="J992" s="2" t="n"/>
      <c r="K992" s="2" t="n"/>
      <c r="L992" s="2" t="n"/>
      <c r="M992" s="2" t="n"/>
      <c r="N992" s="2" t="n"/>
      <c r="O992" s="2" t="n"/>
      <c r="P992" s="2" t="inlineStr">
        <is>
          <t>LISTED</t>
        </is>
      </c>
      <c r="Q992" s="2" t="n"/>
      <c r="R992" s="2" t="n"/>
      <c r="S992" s="2" t="n">
        <v>33.59337221292245</v>
      </c>
      <c r="T992" s="2" t="n">
        <v>-7.61596691350564</v>
      </c>
      <c r="U992" s="3" t="n">
        <v>74789</v>
      </c>
      <c r="V992" s="2" t="inlineStr"/>
      <c r="W992" s="6" t="inlineStr">
        <is>
          <t>https://yakeey.com/fr-ma/achat/biens/152889</t>
        </is>
      </c>
    </row>
    <row r="993">
      <c r="A993" t="inlineStr">
        <is>
          <t>153922</t>
        </is>
      </c>
      <c r="B993" t="inlineStr">
        <is>
          <t>OFFICE</t>
        </is>
      </c>
      <c r="C993" t="inlineStr">
        <is>
          <t>Racine</t>
        </is>
      </c>
      <c r="D993" t="inlineStr">
        <is>
          <t>Casablanca</t>
        </is>
      </c>
      <c r="E993" s="7" t="n">
        <v>2035000</v>
      </c>
      <c r="F993" s="8" t="n">
        <v>110</v>
      </c>
      <c r="G993" s="8" t="n"/>
      <c r="H993" s="8" t="n"/>
      <c r="I993" s="9">
        <f>IFERROR(E993/F993,"")</f>
        <v/>
      </c>
      <c r="P993" t="inlineStr">
        <is>
          <t>LISTED</t>
        </is>
      </c>
      <c r="S993" t="n">
        <v>33.58897437596622</v>
      </c>
      <c r="T993" t="n">
        <v>-7.635865798935145</v>
      </c>
      <c r="U993" s="7" t="n">
        <v>11707</v>
      </c>
      <c r="V993" t="inlineStr"/>
      <c r="W993" s="10" t="inlineStr">
        <is>
          <t>https://yakeey.com/fr-ma/achat/biens/153922</t>
        </is>
      </c>
    </row>
    <row r="994">
      <c r="A994" s="2" t="inlineStr">
        <is>
          <t>154437</t>
        </is>
      </c>
      <c r="B994" s="2" t="inlineStr">
        <is>
          <t>OFFICE</t>
        </is>
      </c>
      <c r="C994" s="2" t="inlineStr">
        <is>
          <t>Maarif</t>
        </is>
      </c>
      <c r="D994" s="2" t="inlineStr">
        <is>
          <t>Casablanca</t>
        </is>
      </c>
      <c r="E994" s="3" t="n">
        <v>1200000</v>
      </c>
      <c r="F994" s="4" t="n">
        <v>74</v>
      </c>
      <c r="G994" s="4" t="n"/>
      <c r="H994" s="4" t="n"/>
      <c r="I994" s="5">
        <f>IFERROR(E994/F994,"")</f>
        <v/>
      </c>
      <c r="J994" s="2" t="n"/>
      <c r="K994" s="2" t="n"/>
      <c r="L994" s="2" t="n"/>
      <c r="M994" s="2" t="n"/>
      <c r="N994" s="2" t="n"/>
      <c r="O994" s="2" t="n"/>
      <c r="P994" s="2" t="inlineStr">
        <is>
          <t>LISTED</t>
        </is>
      </c>
      <c r="Q994" s="2" t="n"/>
      <c r="R994" s="2" t="n"/>
      <c r="S994" s="2" t="n">
        <v>33.58111427368056</v>
      </c>
      <c r="T994" s="2" t="n">
        <v>-7.639300906514957</v>
      </c>
      <c r="U994" s="3" t="n">
        <v>6903</v>
      </c>
      <c r="V994" s="2" t="inlineStr"/>
      <c r="W994" s="6" t="inlineStr">
        <is>
          <t>https://yakeey.com/fr-ma/achat/biens/154437</t>
        </is>
      </c>
    </row>
    <row r="995">
      <c r="A995" t="inlineStr">
        <is>
          <t>161069</t>
        </is>
      </c>
      <c r="B995" t="inlineStr">
        <is>
          <t>OFFICE</t>
        </is>
      </c>
      <c r="C995" t="inlineStr">
        <is>
          <t>Les Princesses</t>
        </is>
      </c>
      <c r="D995" t="inlineStr">
        <is>
          <t>Casablanca</t>
        </is>
      </c>
      <c r="E995" s="7" t="n">
        <v>1199000</v>
      </c>
      <c r="F995" s="8" t="n">
        <v>105</v>
      </c>
      <c r="G995" s="8" t="n"/>
      <c r="H995" s="8" t="n"/>
      <c r="I995" s="9">
        <f>IFERROR(E995/F995,"")</f>
        <v/>
      </c>
      <c r="P995" t="inlineStr">
        <is>
          <t>LISTED</t>
        </is>
      </c>
      <c r="S995" t="n">
        <v>33.57703968083262</v>
      </c>
      <c r="T995" t="n">
        <v>-7.651310121246019</v>
      </c>
      <c r="U995" s="7" t="n">
        <v>6897</v>
      </c>
      <c r="V995" t="inlineStr"/>
      <c r="W995" s="10" t="inlineStr">
        <is>
          <t>https://yakeey.com/fr-ma/achat/biens/161069</t>
        </is>
      </c>
    </row>
    <row r="996">
      <c r="A996" s="2" t="inlineStr">
        <is>
          <t>167503</t>
        </is>
      </c>
      <c r="B996" s="2" t="inlineStr">
        <is>
          <t>OFFICE</t>
        </is>
      </c>
      <c r="C996" s="2" t="inlineStr">
        <is>
          <t>Belvedere (Roches Noires)</t>
        </is>
      </c>
      <c r="D996" s="2" t="inlineStr">
        <is>
          <t>Casablanca</t>
        </is>
      </c>
      <c r="E996" s="3" t="n">
        <v>1500000</v>
      </c>
      <c r="F996" s="4" t="n">
        <v>145</v>
      </c>
      <c r="G996" s="4" t="n"/>
      <c r="H996" s="4" t="n"/>
      <c r="I996" s="5">
        <f>IFERROR(E996/F996,"")</f>
        <v/>
      </c>
      <c r="J996" s="2" t="n"/>
      <c r="K996" s="2" t="n"/>
      <c r="L996" s="2" t="n"/>
      <c r="M996" s="2" t="n"/>
      <c r="N996" s="2" t="n"/>
      <c r="O996" s="2" t="n"/>
      <c r="P996" s="2" t="inlineStr">
        <is>
          <t>LISTED</t>
        </is>
      </c>
      <c r="Q996" s="2" t="n"/>
      <c r="R996" s="2" t="n"/>
      <c r="S996" s="2" t="n">
        <v>33.5976398444872</v>
      </c>
      <c r="T996" s="2" t="n">
        <v>-7.594048923153175</v>
      </c>
      <c r="U996" s="3" t="n">
        <v>8629</v>
      </c>
      <c r="V996" s="2" t="inlineStr"/>
      <c r="W996" s="6" t="inlineStr">
        <is>
          <t>https://yakeey.com/fr-ma/achat/biens/167503</t>
        </is>
      </c>
    </row>
    <row r="997">
      <c r="A997" t="inlineStr">
        <is>
          <t>171646</t>
        </is>
      </c>
      <c r="B997" t="inlineStr">
        <is>
          <t>OFFICE</t>
        </is>
      </c>
      <c r="C997" t="inlineStr">
        <is>
          <t>Hopitaux</t>
        </is>
      </c>
      <c r="D997" t="inlineStr">
        <is>
          <t>Casablanca</t>
        </is>
      </c>
      <c r="E997" s="7" t="n">
        <v>2000000</v>
      </c>
      <c r="F997" s="8" t="n">
        <v>122</v>
      </c>
      <c r="G997" s="8" t="n"/>
      <c r="H997" s="8" t="n"/>
      <c r="I997" s="9">
        <f>IFERROR(E997/F997,"")</f>
        <v/>
      </c>
      <c r="P997" t="inlineStr">
        <is>
          <t>LISTED</t>
        </is>
      </c>
      <c r="S997" t="n">
        <v>33.57344985975121</v>
      </c>
      <c r="T997" t="n">
        <v>-7.624509789440054</v>
      </c>
      <c r="U997" s="7" t="n">
        <v>11506</v>
      </c>
      <c r="V997" t="inlineStr"/>
      <c r="W997" s="10" t="inlineStr">
        <is>
          <t>https://yakeey.com/fr-ma/achat/biens/171646</t>
        </is>
      </c>
    </row>
    <row r="998">
      <c r="A998" s="2" t="inlineStr">
        <is>
          <t>171807</t>
        </is>
      </c>
      <c r="B998" s="2" t="inlineStr">
        <is>
          <t>OFFICE</t>
        </is>
      </c>
      <c r="C998" s="2" t="inlineStr">
        <is>
          <t>Derb Ghalef</t>
        </is>
      </c>
      <c r="D998" s="2" t="inlineStr">
        <is>
          <t>Casablanca</t>
        </is>
      </c>
      <c r="E998" s="3" t="n">
        <v>1050000</v>
      </c>
      <c r="F998" s="4" t="n">
        <v>51</v>
      </c>
      <c r="G998" s="4" t="n"/>
      <c r="H998" s="4" t="n"/>
      <c r="I998" s="5">
        <f>IFERROR(E998/F998,"")</f>
        <v/>
      </c>
      <c r="J998" s="2" t="n"/>
      <c r="K998" s="2" t="n"/>
      <c r="L998" s="2" t="n"/>
      <c r="M998" s="2" t="n"/>
      <c r="N998" s="2" t="n"/>
      <c r="O998" s="2" t="n"/>
      <c r="P998" s="2" t="inlineStr">
        <is>
          <t>LISTED</t>
        </is>
      </c>
      <c r="Q998" s="2" t="n"/>
      <c r="R998" s="2" t="n"/>
      <c r="S998" s="2" t="n">
        <v>33.57100063097516</v>
      </c>
      <c r="T998" s="2" t="n">
        <v>-7.627103706623645</v>
      </c>
      <c r="U998" s="3" t="n">
        <v>6040</v>
      </c>
      <c r="V998" s="2" t="inlineStr"/>
      <c r="W998" s="6" t="inlineStr">
        <is>
          <t>https://yakeey.com/fr-ma/achat/biens/171807</t>
        </is>
      </c>
    </row>
    <row r="999">
      <c r="A999" t="inlineStr">
        <is>
          <t>172113</t>
        </is>
      </c>
      <c r="B999" t="inlineStr">
        <is>
          <t>OFFICE</t>
        </is>
      </c>
      <c r="C999" t="inlineStr">
        <is>
          <t>Oulfa</t>
        </is>
      </c>
      <c r="D999" t="inlineStr">
        <is>
          <t>Casablanca</t>
        </is>
      </c>
      <c r="E999" s="7" t="n">
        <v>1300000</v>
      </c>
      <c r="F999" s="8" t="n">
        <v>79</v>
      </c>
      <c r="G999" s="8" t="n"/>
      <c r="H999" s="8" t="n"/>
      <c r="I999" s="9">
        <f>IFERROR(E999/F999,"")</f>
        <v/>
      </c>
      <c r="P999" t="inlineStr">
        <is>
          <t>LISTED</t>
        </is>
      </c>
      <c r="S999" t="n">
        <v>33.5497472251169</v>
      </c>
      <c r="T999" t="n">
        <v>-7.675030254133007</v>
      </c>
      <c r="U999" s="7" t="n">
        <v>7478</v>
      </c>
      <c r="V999" t="inlineStr"/>
      <c r="W999" s="10" t="inlineStr">
        <is>
          <t>https://yakeey.com/fr-ma/achat/biens/172113</t>
        </is>
      </c>
    </row>
    <row r="1000">
      <c r="A1000" s="2" t="inlineStr">
        <is>
          <t>173900</t>
        </is>
      </c>
      <c r="B1000" s="2" t="inlineStr">
        <is>
          <t>OFFICE</t>
        </is>
      </c>
      <c r="C1000" s="2" t="inlineStr">
        <is>
          <t>Hopitaux</t>
        </is>
      </c>
      <c r="D1000" s="2" t="inlineStr">
        <is>
          <t>Casablanca</t>
        </is>
      </c>
      <c r="E1000" s="3" t="n">
        <v>1200000</v>
      </c>
      <c r="F1000" s="4" t="n">
        <v>62</v>
      </c>
      <c r="G1000" s="4" t="n"/>
      <c r="H1000" s="4" t="n"/>
      <c r="I1000" s="5">
        <f>IFERROR(E1000/F1000,"")</f>
        <v/>
      </c>
      <c r="J1000" s="2" t="n"/>
      <c r="K1000" s="2" t="n"/>
      <c r="L1000" s="2" t="n"/>
      <c r="M1000" s="2" t="n"/>
      <c r="N1000" s="2" t="n"/>
      <c r="O1000" s="2" t="n"/>
      <c r="P1000" s="2" t="inlineStr">
        <is>
          <t>LISTED</t>
        </is>
      </c>
      <c r="Q1000" s="2" t="n"/>
      <c r="R1000" s="2" t="n"/>
      <c r="S1000" s="2" t="n">
        <v>33.56906675016226</v>
      </c>
      <c r="T1000" s="2" t="n">
        <v>-7.626507770191759</v>
      </c>
      <c r="U1000" s="3" t="n">
        <v>6903</v>
      </c>
      <c r="V1000" s="2" t="inlineStr"/>
      <c r="W1000" s="6" t="inlineStr">
        <is>
          <t>https://yakeey.com/fr-ma/achat/biens/173900</t>
        </is>
      </c>
    </row>
    <row r="1001">
      <c r="A1001" t="inlineStr">
        <is>
          <t>173958</t>
        </is>
      </c>
      <c r="B1001" t="inlineStr">
        <is>
          <t>OFFICE</t>
        </is>
      </c>
      <c r="C1001" t="inlineStr">
        <is>
          <t>Hopitaux</t>
        </is>
      </c>
      <c r="D1001" t="inlineStr">
        <is>
          <t>Casablanca</t>
        </is>
      </c>
      <c r="E1001" s="7" t="n">
        <v>1800000</v>
      </c>
      <c r="F1001" s="8" t="n">
        <v>94</v>
      </c>
      <c r="G1001" s="8" t="n"/>
      <c r="H1001" s="8" t="n"/>
      <c r="I1001" s="9">
        <f>IFERROR(E1001/F1001,"")</f>
        <v/>
      </c>
      <c r="P1001" t="inlineStr">
        <is>
          <t>LISTED</t>
        </is>
      </c>
      <c r="S1001" t="n">
        <v>33.5708481349598</v>
      </c>
      <c r="T1001" t="n">
        <v>-7.614687521880183</v>
      </c>
      <c r="U1001" s="7" t="n">
        <v>10355</v>
      </c>
      <c r="V1001" t="inlineStr"/>
      <c r="W1001" s="10" t="inlineStr">
        <is>
          <t>https://yakeey.com/fr-ma/achat/biens/173958</t>
        </is>
      </c>
    </row>
    <row r="1002">
      <c r="A1002" s="2" t="inlineStr">
        <is>
          <t>175903</t>
        </is>
      </c>
      <c r="B1002" s="2" t="inlineStr">
        <is>
          <t>OFFICE</t>
        </is>
      </c>
      <c r="C1002" s="2" t="inlineStr">
        <is>
          <t>Franceville</t>
        </is>
      </c>
      <c r="D1002" s="2" t="inlineStr">
        <is>
          <t>Casablanca</t>
        </is>
      </c>
      <c r="E1002" s="3" t="n">
        <v>1180000</v>
      </c>
      <c r="F1002" s="4" t="n">
        <v>63</v>
      </c>
      <c r="G1002" s="4" t="n"/>
      <c r="H1002" s="4" t="n"/>
      <c r="I1002" s="5">
        <f>IFERROR(E1002/F1002,"")</f>
        <v/>
      </c>
      <c r="J1002" s="2" t="n"/>
      <c r="K1002" s="2" t="n"/>
      <c r="L1002" s="2" t="n"/>
      <c r="M1002" s="2" t="n"/>
      <c r="N1002" s="2" t="n"/>
      <c r="O1002" s="2" t="n"/>
      <c r="P1002" s="2" t="inlineStr">
        <is>
          <t>LISTED</t>
        </is>
      </c>
      <c r="Q1002" s="2" t="n"/>
      <c r="R1002" s="2" t="n"/>
      <c r="S1002" s="2" t="n">
        <v>33.57851044318828</v>
      </c>
      <c r="T1002" s="2" t="n">
        <v>-7.624581967625429</v>
      </c>
      <c r="U1002" s="3" t="n">
        <v>6788</v>
      </c>
      <c r="V1002" s="2" t="inlineStr"/>
      <c r="W1002" s="6" t="inlineStr">
        <is>
          <t>https://yakeey.com/fr-ma/achat/biens/175903</t>
        </is>
      </c>
    </row>
    <row r="1003">
      <c r="A1003" t="inlineStr">
        <is>
          <t>176003</t>
        </is>
      </c>
      <c r="B1003" t="inlineStr">
        <is>
          <t>OFFICE</t>
        </is>
      </c>
      <c r="C1003" t="inlineStr">
        <is>
          <t>Racine</t>
        </is>
      </c>
      <c r="D1003" t="inlineStr">
        <is>
          <t>Casablanca</t>
        </is>
      </c>
      <c r="E1003" s="7" t="n">
        <v>1320000</v>
      </c>
      <c r="F1003" s="8" t="n">
        <v>50</v>
      </c>
      <c r="G1003" s="8" t="n"/>
      <c r="H1003" s="8" t="n"/>
      <c r="I1003" s="9">
        <f>IFERROR(E1003/F1003,"")</f>
        <v/>
      </c>
      <c r="P1003" t="inlineStr">
        <is>
          <t>LISTED</t>
        </is>
      </c>
      <c r="S1003" t="n">
        <v>33.58801428988937</v>
      </c>
      <c r="T1003" t="n">
        <v>-7.63467025597639</v>
      </c>
      <c r="U1003" s="7" t="n">
        <v>7594</v>
      </c>
      <c r="V1003" t="inlineStr"/>
      <c r="W1003" s="10" t="inlineStr">
        <is>
          <t>https://yakeey.com/fr-ma/achat/biens/176003</t>
        </is>
      </c>
    </row>
    <row r="1004">
      <c r="A1004" s="2" t="inlineStr">
        <is>
          <t>177161</t>
        </is>
      </c>
      <c r="B1004" s="2" t="inlineStr">
        <is>
          <t>OFFICE</t>
        </is>
      </c>
      <c r="C1004" s="2" t="inlineStr">
        <is>
          <t>Beausejour</t>
        </is>
      </c>
      <c r="D1004" s="2" t="inlineStr">
        <is>
          <t>Casablanca</t>
        </is>
      </c>
      <c r="E1004" s="3" t="n">
        <v>1100000</v>
      </c>
      <c r="F1004" s="4" t="n">
        <v>70</v>
      </c>
      <c r="G1004" s="4" t="n"/>
      <c r="H1004" s="4" t="n"/>
      <c r="I1004" s="5">
        <f>IFERROR(E1004/F1004,"")</f>
        <v/>
      </c>
      <c r="J1004" s="2" t="n"/>
      <c r="K1004" s="2" t="n"/>
      <c r="L1004" s="2" t="n"/>
      <c r="M1004" s="2" t="n"/>
      <c r="N1004" s="2" t="n"/>
      <c r="O1004" s="2" t="n"/>
      <c r="P1004" s="2" t="inlineStr">
        <is>
          <t>LISTED</t>
        </is>
      </c>
      <c r="Q1004" s="2" t="n"/>
      <c r="R1004" s="2" t="n"/>
      <c r="S1004" s="2" t="n">
        <v>33.56838355853874</v>
      </c>
      <c r="T1004" s="2" t="n">
        <v>-7.650641043697029</v>
      </c>
      <c r="U1004" s="3" t="n">
        <v>6328</v>
      </c>
      <c r="V1004" s="2" t="inlineStr"/>
      <c r="W1004" s="6" t="inlineStr">
        <is>
          <t>https://yakeey.com/fr-ma/achat/biens/177161</t>
        </is>
      </c>
    </row>
    <row r="1005">
      <c r="A1005" t="inlineStr">
        <is>
          <t>177279</t>
        </is>
      </c>
      <c r="B1005" t="inlineStr">
        <is>
          <t>OFFICE</t>
        </is>
      </c>
      <c r="C1005" t="inlineStr">
        <is>
          <t>Roches Noires</t>
        </is>
      </c>
      <c r="D1005" t="inlineStr">
        <is>
          <t>Casablanca</t>
        </is>
      </c>
      <c r="E1005" s="7" t="n">
        <v>1000000</v>
      </c>
      <c r="F1005" s="8" t="n">
        <v>73</v>
      </c>
      <c r="G1005" s="8" t="n"/>
      <c r="H1005" s="8" t="n"/>
      <c r="I1005" s="9">
        <f>IFERROR(E1005/F1005,"")</f>
        <v/>
      </c>
      <c r="P1005" t="inlineStr">
        <is>
          <t>LISTED</t>
        </is>
      </c>
      <c r="S1005" t="n">
        <v>33.59921452309538</v>
      </c>
      <c r="T1005" t="n">
        <v>-7.580174454717027</v>
      </c>
      <c r="U1005" s="7" t="n">
        <v>5753</v>
      </c>
      <c r="V1005" t="inlineStr"/>
      <c r="W1005" s="10" t="inlineStr">
        <is>
          <t>https://yakeey.com/fr-ma/achat/biens/177279</t>
        </is>
      </c>
    </row>
    <row r="1006">
      <c r="A1006" s="2" t="inlineStr">
        <is>
          <t>178131</t>
        </is>
      </c>
      <c r="B1006" s="2" t="inlineStr">
        <is>
          <t>OFFICE</t>
        </is>
      </c>
      <c r="C1006" s="2" t="inlineStr">
        <is>
          <t>Palmier (Maarif)</t>
        </is>
      </c>
      <c r="D1006" s="2" t="inlineStr">
        <is>
          <t>Casablanca</t>
        </is>
      </c>
      <c r="E1006" s="3" t="n">
        <v>1540000</v>
      </c>
      <c r="F1006" s="4" t="n">
        <v>85</v>
      </c>
      <c r="G1006" s="4" t="n"/>
      <c r="H1006" s="4" t="n"/>
      <c r="I1006" s="5">
        <f>IFERROR(E1006/F1006,"")</f>
        <v/>
      </c>
      <c r="J1006" s="2" t="n"/>
      <c r="K1006" s="2" t="n"/>
      <c r="L1006" s="2" t="n"/>
      <c r="M1006" s="2" t="n"/>
      <c r="N1006" s="2" t="n"/>
      <c r="O1006" s="2" t="n"/>
      <c r="P1006" s="2" t="inlineStr">
        <is>
          <t>LISTED</t>
        </is>
      </c>
      <c r="Q1006" s="2" t="n"/>
      <c r="R1006" s="2" t="n"/>
      <c r="S1006" s="2" t="n">
        <v>33.58263965929194</v>
      </c>
      <c r="T1006" s="2" t="n">
        <v>-7.630953911649567</v>
      </c>
      <c r="U1006" s="3" t="n">
        <v>8859</v>
      </c>
      <c r="V1006" s="2" t="inlineStr"/>
      <c r="W1006" s="6" t="inlineStr">
        <is>
          <t>https://yakeey.com/fr-ma/achat/biens/178131</t>
        </is>
      </c>
    </row>
    <row r="1007">
      <c r="A1007" t="inlineStr">
        <is>
          <t>178306</t>
        </is>
      </c>
      <c r="B1007" t="inlineStr">
        <is>
          <t>OFFICE</t>
        </is>
      </c>
      <c r="C1007" t="inlineStr">
        <is>
          <t>Palmier (Maarif)</t>
        </is>
      </c>
      <c r="D1007" t="inlineStr">
        <is>
          <t>Casablanca</t>
        </is>
      </c>
      <c r="E1007" s="7" t="n">
        <v>1800000</v>
      </c>
      <c r="F1007" s="8" t="n">
        <v>138</v>
      </c>
      <c r="G1007" s="8" t="n"/>
      <c r="H1007" s="8" t="n"/>
      <c r="I1007" s="9">
        <f>IFERROR(E1007/F1007,"")</f>
        <v/>
      </c>
      <c r="P1007" t="inlineStr">
        <is>
          <t>LISTED</t>
        </is>
      </c>
      <c r="S1007" t="n">
        <v>33.57846402702251</v>
      </c>
      <c r="T1007" t="n">
        <v>-7.62494793985707</v>
      </c>
      <c r="U1007" s="7" t="n">
        <v>10355</v>
      </c>
      <c r="V1007" t="inlineStr"/>
      <c r="W1007" s="10" t="inlineStr">
        <is>
          <t>https://yakeey.com/fr-ma/achat/biens/178306</t>
        </is>
      </c>
    </row>
    <row r="1008">
      <c r="A1008" s="2" t="inlineStr">
        <is>
          <t>180372</t>
        </is>
      </c>
      <c r="B1008" s="2" t="inlineStr">
        <is>
          <t>OFFICE</t>
        </is>
      </c>
      <c r="C1008" s="2" t="inlineStr">
        <is>
          <t>Hopitaux</t>
        </is>
      </c>
      <c r="D1008" s="2" t="inlineStr">
        <is>
          <t>Casablanca</t>
        </is>
      </c>
      <c r="E1008" s="3" t="n">
        <v>1690000</v>
      </c>
      <c r="F1008" s="4" t="n">
        <v>90</v>
      </c>
      <c r="G1008" s="4" t="n"/>
      <c r="H1008" s="4" t="n"/>
      <c r="I1008" s="5">
        <f>IFERROR(E1008/F1008,"")</f>
        <v/>
      </c>
      <c r="J1008" s="2" t="n"/>
      <c r="K1008" s="2" t="n"/>
      <c r="L1008" s="2" t="n"/>
      <c r="M1008" s="2" t="n"/>
      <c r="N1008" s="2" t="n"/>
      <c r="O1008" s="2" t="n"/>
      <c r="P1008" s="2" t="inlineStr">
        <is>
          <t>LISTED</t>
        </is>
      </c>
      <c r="Q1008" s="2" t="n"/>
      <c r="R1008" s="2" t="n"/>
      <c r="S1008" s="2" t="n">
        <v>33.58381076482832</v>
      </c>
      <c r="T1008" s="2" t="n">
        <v>-7.618343218200927</v>
      </c>
      <c r="U1008" s="3" t="n">
        <v>9722</v>
      </c>
      <c r="V1008" s="2" t="inlineStr"/>
      <c r="W1008" s="6" t="inlineStr">
        <is>
          <t>https://yakeey.com/fr-ma/achat/biens/180372</t>
        </is>
      </c>
    </row>
    <row r="1009">
      <c r="A1009" t="inlineStr">
        <is>
          <t>184846</t>
        </is>
      </c>
      <c r="B1009" t="inlineStr">
        <is>
          <t>OFFICE</t>
        </is>
      </c>
      <c r="C1009" t="inlineStr">
        <is>
          <t>Bourgogne (Anfa)</t>
        </is>
      </c>
      <c r="D1009" t="inlineStr">
        <is>
          <t>Casablanca</t>
        </is>
      </c>
      <c r="E1009" s="7" t="n">
        <v>2500000</v>
      </c>
      <c r="F1009" s="8" t="n">
        <v>128</v>
      </c>
      <c r="G1009" s="8" t="n"/>
      <c r="H1009" s="8" t="n"/>
      <c r="I1009" s="9">
        <f>IFERROR(E1009/F1009,"")</f>
        <v/>
      </c>
      <c r="P1009" t="inlineStr">
        <is>
          <t>LISTED</t>
        </is>
      </c>
      <c r="S1009" t="n">
        <v>33.60252452003873</v>
      </c>
      <c r="T1009" t="n">
        <v>-7.646671891799807</v>
      </c>
      <c r="U1009" s="7" t="n">
        <v>14382</v>
      </c>
      <c r="V1009" t="inlineStr"/>
      <c r="W1009" s="10" t="inlineStr">
        <is>
          <t>https://yakeey.com/fr-ma/achat/biens/184846</t>
        </is>
      </c>
    </row>
    <row r="1010">
      <c r="A1010" s="2" t="inlineStr">
        <is>
          <t>184848</t>
        </is>
      </c>
      <c r="B1010" s="2" t="inlineStr">
        <is>
          <t>OFFICE</t>
        </is>
      </c>
      <c r="C1010" s="2" t="inlineStr">
        <is>
          <t>Bourgogne (Anfa)</t>
        </is>
      </c>
      <c r="D1010" s="2" t="inlineStr">
        <is>
          <t>Casablanca</t>
        </is>
      </c>
      <c r="E1010" s="3" t="n">
        <v>2500000</v>
      </c>
      <c r="F1010" s="4" t="n">
        <v>135</v>
      </c>
      <c r="G1010" s="4" t="n"/>
      <c r="H1010" s="4" t="n"/>
      <c r="I1010" s="5">
        <f>IFERROR(E1010/F1010,"")</f>
        <v/>
      </c>
      <c r="J1010" s="2" t="n"/>
      <c r="K1010" s="2" t="n"/>
      <c r="L1010" s="2" t="n"/>
      <c r="M1010" s="2" t="n"/>
      <c r="N1010" s="2" t="n"/>
      <c r="O1010" s="2" t="n"/>
      <c r="P1010" s="2" t="inlineStr">
        <is>
          <t>LISTED</t>
        </is>
      </c>
      <c r="Q1010" s="2" t="n"/>
      <c r="R1010" s="2" t="n"/>
      <c r="S1010" s="2" t="n">
        <v>33.60319494151297</v>
      </c>
      <c r="T1010" s="2" t="n">
        <v>-7.646142415172773</v>
      </c>
      <c r="U1010" s="3" t="n">
        <v>14382</v>
      </c>
      <c r="V1010" s="2" t="inlineStr"/>
      <c r="W1010" s="6" t="inlineStr">
        <is>
          <t>https://yakeey.com/fr-ma/achat/biens/184848</t>
        </is>
      </c>
    </row>
    <row r="1011">
      <c r="A1011" t="inlineStr">
        <is>
          <t>186632</t>
        </is>
      </c>
      <c r="B1011" t="inlineStr">
        <is>
          <t>OFFICE</t>
        </is>
      </c>
      <c r="C1011" t="inlineStr">
        <is>
          <t>Racine</t>
        </is>
      </c>
      <c r="D1011" t="inlineStr">
        <is>
          <t>Casablanca</t>
        </is>
      </c>
      <c r="E1011" s="7" t="n">
        <v>1600000</v>
      </c>
      <c r="F1011" s="8" t="n">
        <v>71</v>
      </c>
      <c r="G1011" s="8" t="n"/>
      <c r="H1011" s="8" t="n"/>
      <c r="I1011" s="9">
        <f>IFERROR(E1011/F1011,"")</f>
        <v/>
      </c>
      <c r="P1011" t="inlineStr">
        <is>
          <t>LISTED</t>
        </is>
      </c>
      <c r="S1011" t="n">
        <v>33.59054007885165</v>
      </c>
      <c r="T1011" t="n">
        <v>-7.643310999289377</v>
      </c>
      <c r="U1011" s="7" t="n">
        <v>9204</v>
      </c>
      <c r="V1011" t="inlineStr"/>
      <c r="W1011" s="10" t="inlineStr">
        <is>
          <t>https://yakeey.com/fr-ma/achat/biens/186632</t>
        </is>
      </c>
    </row>
    <row r="1012">
      <c r="A1012" s="2" t="inlineStr">
        <is>
          <t>186635</t>
        </is>
      </c>
      <c r="B1012" s="2" t="inlineStr">
        <is>
          <t>OFFICE</t>
        </is>
      </c>
      <c r="C1012" s="2" t="inlineStr">
        <is>
          <t>Racine</t>
        </is>
      </c>
      <c r="D1012" s="2" t="inlineStr">
        <is>
          <t>Casablanca</t>
        </is>
      </c>
      <c r="E1012" s="3" t="n">
        <v>2600000</v>
      </c>
      <c r="F1012" s="4" t="n">
        <v>131</v>
      </c>
      <c r="G1012" s="4" t="n"/>
      <c r="H1012" s="4" t="n"/>
      <c r="I1012" s="5">
        <f>IFERROR(E1012/F1012,"")</f>
        <v/>
      </c>
      <c r="J1012" s="2" t="n"/>
      <c r="K1012" s="2" t="n"/>
      <c r="L1012" s="2" t="n"/>
      <c r="M1012" s="2" t="n"/>
      <c r="N1012" s="2" t="n"/>
      <c r="O1012" s="2" t="n"/>
      <c r="P1012" s="2" t="inlineStr">
        <is>
          <t>LISTED</t>
        </is>
      </c>
      <c r="Q1012" s="2" t="n"/>
      <c r="R1012" s="2" t="n"/>
      <c r="S1012" s="2" t="n">
        <v>33.59195903714184</v>
      </c>
      <c r="T1012" s="2" t="n">
        <v>-7.643546744815765</v>
      </c>
      <c r="U1012" s="3" t="n">
        <v>14957</v>
      </c>
      <c r="V1012" s="2" t="inlineStr"/>
      <c r="W1012" s="6" t="inlineStr">
        <is>
          <t>https://yakeey.com/fr-ma/achat/biens/186635</t>
        </is>
      </c>
    </row>
    <row r="1013">
      <c r="A1013" t="inlineStr">
        <is>
          <t>187887</t>
        </is>
      </c>
      <c r="B1013" t="inlineStr">
        <is>
          <t>OFFICE</t>
        </is>
      </c>
      <c r="C1013" t="inlineStr">
        <is>
          <t>Hopitaux</t>
        </is>
      </c>
      <c r="D1013" t="inlineStr">
        <is>
          <t>Casablanca</t>
        </is>
      </c>
      <c r="E1013" s="7" t="n">
        <v>1600000</v>
      </c>
      <c r="F1013" s="8" t="n">
        <v>117</v>
      </c>
      <c r="G1013" s="8" t="n"/>
      <c r="H1013" s="8" t="n"/>
      <c r="I1013" s="9">
        <f>IFERROR(E1013/F1013,"")</f>
        <v/>
      </c>
      <c r="P1013" t="inlineStr">
        <is>
          <t>PROCESSING</t>
        </is>
      </c>
      <c r="S1013" t="n">
        <v>33.57247961182797</v>
      </c>
      <c r="T1013" t="n">
        <v>-7.617805297174205</v>
      </c>
      <c r="U1013" s="7" t="n">
        <v>9204</v>
      </c>
      <c r="V1013" t="inlineStr"/>
      <c r="W1013" s="10" t="inlineStr">
        <is>
          <t>https://yakeey.com/fr-ma/achat/biens/187887</t>
        </is>
      </c>
    </row>
    <row r="1014">
      <c r="A1014" s="2" t="inlineStr">
        <is>
          <t>188837</t>
        </is>
      </c>
      <c r="B1014" s="2" t="inlineStr">
        <is>
          <t>OFFICE</t>
        </is>
      </c>
      <c r="C1014" s="2" t="inlineStr">
        <is>
          <t>Azhar Oulfa</t>
        </is>
      </c>
      <c r="D1014" s="2" t="inlineStr">
        <is>
          <t>Casablanca</t>
        </is>
      </c>
      <c r="E1014" s="3" t="n">
        <v>580000</v>
      </c>
      <c r="F1014" s="4" t="n">
        <v>42</v>
      </c>
      <c r="G1014" s="4" t="n"/>
      <c r="H1014" s="4" t="n"/>
      <c r="I1014" s="5">
        <f>IFERROR(E1014/F1014,"")</f>
        <v/>
      </c>
      <c r="J1014" s="2" t="n"/>
      <c r="K1014" s="2" t="n"/>
      <c r="L1014" s="2" t="n"/>
      <c r="M1014" s="2" t="n"/>
      <c r="N1014" s="2" t="n"/>
      <c r="O1014" s="2" t="n"/>
      <c r="P1014" s="2" t="inlineStr">
        <is>
          <t>PROCESSING</t>
        </is>
      </c>
      <c r="Q1014" s="2" t="n"/>
      <c r="R1014" s="2" t="n"/>
      <c r="S1014" s="2" t="n">
        <v>33.52026002996805</v>
      </c>
      <c r="T1014" s="2" t="n">
        <v>-7.695093118163158</v>
      </c>
      <c r="U1014" s="3" t="n">
        <v>3336</v>
      </c>
      <c r="V1014" s="2" t="inlineStr"/>
      <c r="W1014" s="6" t="inlineStr">
        <is>
          <t>https://yakeey.com/fr-ma/achat/biens/188837</t>
        </is>
      </c>
    </row>
    <row r="1015">
      <c r="A1015" t="inlineStr">
        <is>
          <t>189706</t>
        </is>
      </c>
      <c r="B1015" t="inlineStr">
        <is>
          <t>OFFICE</t>
        </is>
      </c>
      <c r="C1015" t="inlineStr">
        <is>
          <t>Derb Omar</t>
        </is>
      </c>
      <c r="D1015" t="inlineStr">
        <is>
          <t>Casablanca</t>
        </is>
      </c>
      <c r="E1015" s="7" t="n">
        <v>1550000</v>
      </c>
      <c r="F1015" s="8" t="n">
        <v>154</v>
      </c>
      <c r="G1015" s="8" t="n"/>
      <c r="H1015" s="8" t="n"/>
      <c r="I1015" s="9">
        <f>IFERROR(E1015/F1015,"")</f>
        <v/>
      </c>
      <c r="P1015" t="inlineStr">
        <is>
          <t>PROCESSING</t>
        </is>
      </c>
      <c r="S1015" t="n">
        <v>33.58562280812605</v>
      </c>
      <c r="T1015" t="n">
        <v>-7.607464852777835</v>
      </c>
      <c r="U1015" s="7" t="n">
        <v>8917</v>
      </c>
      <c r="V1015" t="inlineStr"/>
      <c r="W1015" s="10" t="inlineStr">
        <is>
          <t>https://yakeey.com/fr-ma/achat/biens/189706</t>
        </is>
      </c>
    </row>
    <row r="1016">
      <c r="A1016" s="2" t="inlineStr">
        <is>
          <t>19518</t>
        </is>
      </c>
      <c r="B1016" s="2" t="inlineStr">
        <is>
          <t>OFFICE</t>
        </is>
      </c>
      <c r="C1016" s="2" t="inlineStr">
        <is>
          <t>Burger</t>
        </is>
      </c>
      <c r="D1016" s="2" t="inlineStr">
        <is>
          <t>Casablanca</t>
        </is>
      </c>
      <c r="E1016" s="3" t="n">
        <v>1985000</v>
      </c>
      <c r="F1016" s="4" t="n">
        <v>107</v>
      </c>
      <c r="G1016" s="4" t="n"/>
      <c r="H1016" s="4" t="n"/>
      <c r="I1016" s="5">
        <f>IFERROR(E1016/F1016,"")</f>
        <v/>
      </c>
      <c r="J1016" s="2" t="n"/>
      <c r="K1016" s="2" t="n"/>
      <c r="L1016" s="2" t="n"/>
      <c r="M1016" s="2" t="n"/>
      <c r="N1016" s="2" t="n"/>
      <c r="O1016" s="2" t="n"/>
      <c r="P1016" s="2" t="inlineStr">
        <is>
          <t>LISTED</t>
        </is>
      </c>
      <c r="Q1016" s="2" t="n"/>
      <c r="R1016" s="2" t="n"/>
      <c r="S1016" s="2" t="n">
        <v>33.57264985609154</v>
      </c>
      <c r="T1016" s="2" t="n">
        <v>-7.641067904109897</v>
      </c>
      <c r="U1016" s="3" t="n">
        <v>11419</v>
      </c>
      <c r="V1016" s="2" t="inlineStr"/>
      <c r="W1016" s="6" t="inlineStr">
        <is>
          <t>https://yakeey.com/fr-ma/achat/biens/19518</t>
        </is>
      </c>
    </row>
    <row r="1017">
      <c r="A1017" t="inlineStr">
        <is>
          <t>21239</t>
        </is>
      </c>
      <c r="B1017" t="inlineStr">
        <is>
          <t>OFFICE</t>
        </is>
      </c>
      <c r="C1017" t="inlineStr">
        <is>
          <t>Maarif Extension</t>
        </is>
      </c>
      <c r="D1017" t="inlineStr">
        <is>
          <t>Casablanca</t>
        </is>
      </c>
      <c r="E1017" s="7" t="n">
        <v>1600000</v>
      </c>
      <c r="F1017" s="8" t="n">
        <v>92</v>
      </c>
      <c r="G1017" s="8" t="n"/>
      <c r="H1017" s="8" t="n"/>
      <c r="I1017" s="9">
        <f>IFERROR(E1017/F1017,"")</f>
        <v/>
      </c>
      <c r="P1017" t="inlineStr">
        <is>
          <t>LISTED</t>
        </is>
      </c>
      <c r="S1017" t="n">
        <v>33.58106168554665</v>
      </c>
      <c r="T1017" t="n">
        <v>-7.640419349801657</v>
      </c>
      <c r="U1017" s="7" t="n">
        <v>9204</v>
      </c>
      <c r="V1017" t="inlineStr"/>
      <c r="W1017" s="10" t="inlineStr">
        <is>
          <t>https://yakeey.com/fr-ma/achat/biens/21239</t>
        </is>
      </c>
    </row>
    <row r="1018">
      <c r="A1018" s="2" t="inlineStr">
        <is>
          <t>25329</t>
        </is>
      </c>
      <c r="B1018" s="2" t="inlineStr">
        <is>
          <t>OFFICE</t>
        </is>
      </c>
      <c r="C1018" s="2" t="inlineStr">
        <is>
          <t>Derb Sultan</t>
        </is>
      </c>
      <c r="D1018" s="2" t="inlineStr">
        <is>
          <t>Casablanca</t>
        </is>
      </c>
      <c r="E1018" s="3" t="n">
        <v>780000</v>
      </c>
      <c r="F1018" s="4" t="n">
        <v>72</v>
      </c>
      <c r="G1018" s="4" t="n"/>
      <c r="H1018" s="4" t="n"/>
      <c r="I1018" s="5">
        <f>IFERROR(E1018/F1018,"")</f>
        <v/>
      </c>
      <c r="J1018" s="2" t="n"/>
      <c r="K1018" s="2" t="n"/>
      <c r="L1018" s="2" t="n"/>
      <c r="M1018" s="2" t="n"/>
      <c r="N1018" s="2" t="n"/>
      <c r="O1018" s="2" t="n"/>
      <c r="P1018" s="2" t="inlineStr">
        <is>
          <t>LISTED</t>
        </is>
      </c>
      <c r="Q1018" s="2" t="n"/>
      <c r="R1018" s="2" t="n"/>
      <c r="S1018" s="2" t="n">
        <v>33.56701410587629</v>
      </c>
      <c r="T1018" s="2" t="n">
        <v>-7.609483614376969</v>
      </c>
      <c r="U1018" s="3" t="n">
        <v>4487</v>
      </c>
      <c r="V1018" s="2" t="inlineStr"/>
      <c r="W1018" s="6" t="inlineStr">
        <is>
          <t>https://yakeey.com/fr-ma/achat/biens/25329</t>
        </is>
      </c>
    </row>
    <row r="1019">
      <c r="A1019" t="inlineStr">
        <is>
          <t>25333</t>
        </is>
      </c>
      <c r="B1019" t="inlineStr">
        <is>
          <t>OFFICE</t>
        </is>
      </c>
      <c r="C1019" t="inlineStr">
        <is>
          <t>Beausite</t>
        </is>
      </c>
      <c r="D1019" t="inlineStr">
        <is>
          <t>Casablanca</t>
        </is>
      </c>
      <c r="E1019" s="7" t="n">
        <v>550000</v>
      </c>
      <c r="F1019" s="8" t="n">
        <v>49</v>
      </c>
      <c r="G1019" s="8" t="n"/>
      <c r="H1019" s="8" t="n"/>
      <c r="I1019" s="9">
        <f>IFERROR(E1019/F1019,"")</f>
        <v/>
      </c>
      <c r="P1019" t="inlineStr">
        <is>
          <t>LISTED</t>
        </is>
      </c>
      <c r="S1019" t="n">
        <v>33.59947274398961</v>
      </c>
      <c r="T1019" t="n">
        <v>-7.532876846186428</v>
      </c>
      <c r="U1019" s="7" t="n">
        <v>3164</v>
      </c>
      <c r="V1019" t="inlineStr"/>
      <c r="W1019" s="10" t="inlineStr">
        <is>
          <t>https://yakeey.com/fr-ma/achat/biens/25333</t>
        </is>
      </c>
    </row>
    <row r="1020">
      <c r="A1020" s="2" t="inlineStr">
        <is>
          <t>3353</t>
        </is>
      </c>
      <c r="B1020" s="2" t="inlineStr">
        <is>
          <t>OFFICE</t>
        </is>
      </c>
      <c r="C1020" s="2" t="inlineStr">
        <is>
          <t>Alsace Loraine</t>
        </is>
      </c>
      <c r="D1020" s="2" t="inlineStr">
        <is>
          <t>Casablanca</t>
        </is>
      </c>
      <c r="E1020" s="3" t="n">
        <v>5500000</v>
      </c>
      <c r="F1020" s="4" t="n">
        <v>442</v>
      </c>
      <c r="G1020" s="4" t="n"/>
      <c r="H1020" s="4" t="n"/>
      <c r="I1020" s="5">
        <f>IFERROR(E1020/F1020,"")</f>
        <v/>
      </c>
      <c r="J1020" s="2" t="n"/>
      <c r="K1020" s="2" t="n"/>
      <c r="L1020" s="2" t="n"/>
      <c r="M1020" s="2" t="n"/>
      <c r="N1020" s="2" t="n"/>
      <c r="O1020" s="2" t="n"/>
      <c r="P1020" s="2" t="inlineStr">
        <is>
          <t>LISTED</t>
        </is>
      </c>
      <c r="Q1020" s="2" t="n"/>
      <c r="R1020" s="2" t="n"/>
      <c r="S1020" s="2" t="n">
        <v>33.58243172130505</v>
      </c>
      <c r="T1020" s="2" t="n">
        <v>-7.620776655593643</v>
      </c>
      <c r="U1020" s="3" t="n">
        <v>31641</v>
      </c>
      <c r="V1020" s="2" t="inlineStr"/>
      <c r="W1020" s="6" t="inlineStr">
        <is>
          <t>https://yakeey.com/fr-ma/achat/biens/3353</t>
        </is>
      </c>
    </row>
    <row r="1021">
      <c r="A1021" t="inlineStr">
        <is>
          <t>35384</t>
        </is>
      </c>
      <c r="B1021" t="inlineStr">
        <is>
          <t>OFFICE</t>
        </is>
      </c>
      <c r="C1021" t="inlineStr">
        <is>
          <t>Alsace Loraine</t>
        </is>
      </c>
      <c r="D1021" t="inlineStr">
        <is>
          <t>Casablanca</t>
        </is>
      </c>
      <c r="E1021" s="7" t="n">
        <v>8570000</v>
      </c>
      <c r="F1021" s="8" t="n">
        <v>551</v>
      </c>
      <c r="G1021" s="8" t="n"/>
      <c r="H1021" s="8" t="n"/>
      <c r="I1021" s="9">
        <f>IFERROR(E1021/F1021,"")</f>
        <v/>
      </c>
      <c r="P1021" t="inlineStr">
        <is>
          <t>LISTED</t>
        </is>
      </c>
      <c r="S1021" t="n">
        <v>33.58353245163944</v>
      </c>
      <c r="T1021" t="n">
        <v>-7.621687343115674</v>
      </c>
      <c r="U1021" s="7" t="n">
        <v>49303</v>
      </c>
      <c r="V1021" t="inlineStr"/>
      <c r="W1021" s="10" t="inlineStr">
        <is>
          <t>https://yakeey.com/fr-ma/achat/biens/35384</t>
        </is>
      </c>
    </row>
    <row r="1022">
      <c r="A1022" s="2" t="inlineStr">
        <is>
          <t>38739</t>
        </is>
      </c>
      <c r="B1022" s="2" t="inlineStr">
        <is>
          <t>OFFICE</t>
        </is>
      </c>
      <c r="C1022" s="2" t="inlineStr">
        <is>
          <t>Alsace Loraine</t>
        </is>
      </c>
      <c r="D1022" s="2" t="inlineStr">
        <is>
          <t>Casablanca</t>
        </is>
      </c>
      <c r="E1022" s="3" t="n">
        <v>1700000</v>
      </c>
      <c r="F1022" s="4" t="n">
        <v>122</v>
      </c>
      <c r="G1022" s="4" t="n"/>
      <c r="H1022" s="4" t="n"/>
      <c r="I1022" s="5">
        <f>IFERROR(E1022/F1022,"")</f>
        <v/>
      </c>
      <c r="J1022" s="2" t="n"/>
      <c r="K1022" s="2" t="n"/>
      <c r="L1022" s="2" t="n"/>
      <c r="M1022" s="2" t="n"/>
      <c r="N1022" s="2" t="n"/>
      <c r="O1022" s="2" t="n"/>
      <c r="P1022" s="2" t="inlineStr">
        <is>
          <t>LISTED</t>
        </is>
      </c>
      <c r="Q1022" s="2" t="n"/>
      <c r="R1022" s="2" t="n"/>
      <c r="S1022" s="2" t="n">
        <v>33.58677562307118</v>
      </c>
      <c r="T1022" s="2" t="n">
        <v>-7.61688906015915</v>
      </c>
      <c r="U1022" s="3" t="n">
        <v>9780</v>
      </c>
      <c r="V1022" s="2" t="inlineStr"/>
      <c r="W1022" s="6" t="inlineStr">
        <is>
          <t>https://yakeey.com/fr-ma/achat/biens/38739</t>
        </is>
      </c>
    </row>
    <row r="1023">
      <c r="A1023" t="inlineStr">
        <is>
          <t>39030</t>
        </is>
      </c>
      <c r="B1023" t="inlineStr">
        <is>
          <t>OFFICE</t>
        </is>
      </c>
      <c r="C1023" t="inlineStr">
        <is>
          <t>Racine</t>
        </is>
      </c>
      <c r="D1023" t="inlineStr">
        <is>
          <t>Casablanca</t>
        </is>
      </c>
      <c r="E1023" s="7" t="n">
        <v>2164500</v>
      </c>
      <c r="F1023" s="8" t="n">
        <v>159</v>
      </c>
      <c r="G1023" s="8" t="n"/>
      <c r="H1023" s="8" t="n"/>
      <c r="I1023" s="9">
        <f>IFERROR(E1023/F1023,"")</f>
        <v/>
      </c>
      <c r="P1023" t="inlineStr">
        <is>
          <t>LISTED</t>
        </is>
      </c>
      <c r="S1023" t="n">
        <v>33.58878376471122</v>
      </c>
      <c r="T1023" t="n">
        <v>-7.64540379250526</v>
      </c>
      <c r="U1023" s="7" t="n">
        <v>12452</v>
      </c>
      <c r="V1023" t="inlineStr"/>
      <c r="W1023" s="10" t="inlineStr">
        <is>
          <t>https://yakeey.com/fr-ma/achat/biens/39030</t>
        </is>
      </c>
    </row>
    <row r="1024">
      <c r="A1024" s="2" t="inlineStr">
        <is>
          <t>46782</t>
        </is>
      </c>
      <c r="B1024" s="2" t="inlineStr">
        <is>
          <t>OFFICE</t>
        </is>
      </c>
      <c r="C1024" s="2" t="inlineStr">
        <is>
          <t>Oasis</t>
        </is>
      </c>
      <c r="D1024" s="2" t="inlineStr">
        <is>
          <t>Casablanca</t>
        </is>
      </c>
      <c r="E1024" s="3" t="n">
        <v>25000000</v>
      </c>
      <c r="F1024" s="4" t="n">
        <v>2648</v>
      </c>
      <c r="G1024" s="4" t="n"/>
      <c r="H1024" s="4" t="n"/>
      <c r="I1024" s="5">
        <f>IFERROR(E1024/F1024,"")</f>
        <v/>
      </c>
      <c r="J1024" s="2" t="n"/>
      <c r="K1024" s="2" t="n"/>
      <c r="L1024" s="2" t="n"/>
      <c r="M1024" s="2" t="n"/>
      <c r="N1024" s="2" t="n"/>
      <c r="O1024" s="2" t="n"/>
      <c r="P1024" s="2" t="inlineStr">
        <is>
          <t>LISTED</t>
        </is>
      </c>
      <c r="Q1024" s="2" t="n"/>
      <c r="R1024" s="2" t="n"/>
      <c r="S1024" s="2" t="n">
        <v>33.56011161130032</v>
      </c>
      <c r="T1024" s="2" t="n">
        <v>-7.629700429728944</v>
      </c>
      <c r="U1024" s="3" t="n">
        <v>143826</v>
      </c>
      <c r="V1024" s="2" t="inlineStr"/>
      <c r="W1024" s="6" t="inlineStr">
        <is>
          <t>https://yakeey.com/fr-ma/achat/biens/46782</t>
        </is>
      </c>
    </row>
    <row r="1025">
      <c r="A1025" t="inlineStr">
        <is>
          <t>48502</t>
        </is>
      </c>
      <c r="B1025" t="inlineStr">
        <is>
          <t>OFFICE</t>
        </is>
      </c>
      <c r="C1025" t="inlineStr">
        <is>
          <t>Quartier Bd Med V</t>
        </is>
      </c>
      <c r="D1025" t="inlineStr">
        <is>
          <t>Casablanca</t>
        </is>
      </c>
      <c r="E1025" s="7" t="n">
        <v>1150000</v>
      </c>
      <c r="F1025" s="8" t="n">
        <v>117</v>
      </c>
      <c r="G1025" s="8" t="n"/>
      <c r="H1025" s="8" t="n"/>
      <c r="I1025" s="9">
        <f>IFERROR(E1025/F1025,"")</f>
        <v/>
      </c>
      <c r="P1025" t="inlineStr">
        <is>
          <t>LISTED</t>
        </is>
      </c>
      <c r="S1025" t="n">
        <v>33.59425219569467</v>
      </c>
      <c r="T1025" t="n">
        <v>-7.613102423021239</v>
      </c>
      <c r="U1025" s="7" t="n">
        <v>6616</v>
      </c>
      <c r="V1025" t="inlineStr"/>
      <c r="W1025" s="10" t="inlineStr">
        <is>
          <t>https://yakeey.com/fr-ma/achat/biens/48502</t>
        </is>
      </c>
    </row>
    <row r="1026">
      <c r="A1026" s="2" t="inlineStr">
        <is>
          <t>51049</t>
        </is>
      </c>
      <c r="B1026" s="2" t="inlineStr">
        <is>
          <t>OFFICE</t>
        </is>
      </c>
      <c r="C1026" s="2" t="inlineStr">
        <is>
          <t>Cil</t>
        </is>
      </c>
      <c r="D1026" s="2" t="inlineStr">
        <is>
          <t>Casablanca</t>
        </is>
      </c>
      <c r="E1026" s="3" t="n">
        <v>12000000</v>
      </c>
      <c r="F1026" s="4" t="n">
        <v>403</v>
      </c>
      <c r="G1026" s="4" t="n"/>
      <c r="H1026" s="4" t="n"/>
      <c r="I1026" s="5">
        <f>IFERROR(E1026/F1026,"")</f>
        <v/>
      </c>
      <c r="J1026" s="2" t="n"/>
      <c r="K1026" s="2" t="n"/>
      <c r="L1026" s="2" t="n"/>
      <c r="M1026" s="2" t="n"/>
      <c r="N1026" s="2" t="n"/>
      <c r="O1026" s="2" t="n"/>
      <c r="P1026" s="2" t="inlineStr">
        <is>
          <t>LISTED</t>
        </is>
      </c>
      <c r="Q1026" s="2" t="n"/>
      <c r="R1026" s="2" t="n"/>
      <c r="S1026" s="2" t="n">
        <v>33.57044556862287</v>
      </c>
      <c r="T1026" s="2" t="n">
        <v>-7.669623419835817</v>
      </c>
      <c r="U1026" s="3" t="n">
        <v>69036</v>
      </c>
      <c r="V1026" s="2" t="inlineStr"/>
      <c r="W1026" s="6" t="inlineStr">
        <is>
          <t>https://yakeey.com/fr-ma/achat/biens/51049</t>
        </is>
      </c>
    </row>
    <row r="1027">
      <c r="A1027" t="inlineStr">
        <is>
          <t>53132</t>
        </is>
      </c>
      <c r="B1027" t="inlineStr">
        <is>
          <t>OFFICE</t>
        </is>
      </c>
      <c r="C1027" t="inlineStr">
        <is>
          <t>Anassi</t>
        </is>
      </c>
      <c r="D1027" t="inlineStr">
        <is>
          <t>Casablanca</t>
        </is>
      </c>
      <c r="E1027" s="7" t="n">
        <v>16000000</v>
      </c>
      <c r="F1027" s="8" t="n">
        <v>2695</v>
      </c>
      <c r="G1027" s="8" t="n"/>
      <c r="H1027" s="8" t="n"/>
      <c r="I1027" s="9">
        <f>IFERROR(E1027/F1027,"")</f>
        <v/>
      </c>
      <c r="P1027" t="inlineStr">
        <is>
          <t>LISTED</t>
        </is>
      </c>
      <c r="S1027" t="n">
        <v>33.59596996369331</v>
      </c>
      <c r="T1027" t="n">
        <v>-7.505840637151453</v>
      </c>
      <c r="U1027" s="7" t="n">
        <v>92048</v>
      </c>
      <c r="V1027" t="inlineStr"/>
      <c r="W1027" s="10" t="inlineStr">
        <is>
          <t>https://yakeey.com/fr-ma/achat/biens/53132</t>
        </is>
      </c>
    </row>
    <row r="1028">
      <c r="A1028" s="2" t="inlineStr">
        <is>
          <t>57330</t>
        </is>
      </c>
      <c r="B1028" s="2" t="inlineStr">
        <is>
          <t>OFFICE</t>
        </is>
      </c>
      <c r="C1028" s="2" t="inlineStr">
        <is>
          <t>Maarif</t>
        </is>
      </c>
      <c r="D1028" s="2" t="inlineStr">
        <is>
          <t>Casablanca</t>
        </is>
      </c>
      <c r="E1028" s="3" t="n">
        <v>1830000</v>
      </c>
      <c r="F1028" s="4" t="n">
        <v>148</v>
      </c>
      <c r="G1028" s="4" t="n"/>
      <c r="H1028" s="4" t="n"/>
      <c r="I1028" s="5">
        <f>IFERROR(E1028/F1028,"")</f>
        <v/>
      </c>
      <c r="J1028" s="2" t="n"/>
      <c r="K1028" s="2" t="n"/>
      <c r="L1028" s="2" t="n"/>
      <c r="M1028" s="2" t="n"/>
      <c r="N1028" s="2" t="n"/>
      <c r="O1028" s="2" t="n"/>
      <c r="P1028" s="2" t="inlineStr">
        <is>
          <t>LISTED</t>
        </is>
      </c>
      <c r="Q1028" s="2" t="n"/>
      <c r="R1028" s="2" t="n"/>
      <c r="S1028" s="2" t="n">
        <v>33.58418837394385</v>
      </c>
      <c r="T1028" s="2" t="n">
        <v>-7.630447950557349</v>
      </c>
      <c r="U1028" s="3" t="n">
        <v>10528</v>
      </c>
      <c r="V1028" s="2" t="inlineStr"/>
      <c r="W1028" s="6" t="inlineStr">
        <is>
          <t>https://yakeey.com/fr-ma/achat/biens/57330</t>
        </is>
      </c>
    </row>
    <row r="1029">
      <c r="A1029" t="inlineStr">
        <is>
          <t>57925</t>
        </is>
      </c>
      <c r="B1029" t="inlineStr">
        <is>
          <t>OFFICE</t>
        </is>
      </c>
      <c r="C1029" t="inlineStr">
        <is>
          <t>Bourgogne (Anfa)</t>
        </is>
      </c>
      <c r="D1029" t="inlineStr">
        <is>
          <t>Casablanca</t>
        </is>
      </c>
      <c r="E1029" s="7" t="n">
        <v>1150000</v>
      </c>
      <c r="F1029" s="8" t="n">
        <v>49</v>
      </c>
      <c r="G1029" s="8" t="n"/>
      <c r="H1029" s="8" t="n"/>
      <c r="I1029" s="9">
        <f>IFERROR(E1029/F1029,"")</f>
        <v/>
      </c>
      <c r="P1029" t="inlineStr">
        <is>
          <t>LISTED</t>
        </is>
      </c>
      <c r="S1029" t="n">
        <v>33.59786501205053</v>
      </c>
      <c r="T1029" t="n">
        <v>-7.642871333314239</v>
      </c>
      <c r="U1029" s="7" t="n">
        <v>6616</v>
      </c>
      <c r="V1029" t="inlineStr"/>
      <c r="W1029" s="10" t="inlineStr">
        <is>
          <t>https://yakeey.com/fr-ma/achat/biens/57925</t>
        </is>
      </c>
    </row>
    <row r="1030">
      <c r="A1030" s="2" t="inlineStr">
        <is>
          <t>57979</t>
        </is>
      </c>
      <c r="B1030" s="2" t="inlineStr">
        <is>
          <t>OFFICE</t>
        </is>
      </c>
      <c r="C1030" s="2" t="inlineStr">
        <is>
          <t>Mers Sultan</t>
        </is>
      </c>
      <c r="D1030" s="2" t="inlineStr">
        <is>
          <t>Casablanca</t>
        </is>
      </c>
      <c r="E1030" s="3" t="n">
        <v>850000</v>
      </c>
      <c r="F1030" s="4" t="n">
        <v>50</v>
      </c>
      <c r="G1030" s="4" t="n"/>
      <c r="H1030" s="4" t="n"/>
      <c r="I1030" s="5">
        <f>IFERROR(E1030/F1030,"")</f>
        <v/>
      </c>
      <c r="J1030" s="2" t="n"/>
      <c r="K1030" s="2" t="n"/>
      <c r="L1030" s="2" t="n"/>
      <c r="M1030" s="2" t="n"/>
      <c r="N1030" s="2" t="n"/>
      <c r="O1030" s="2" t="n"/>
      <c r="P1030" s="2" t="inlineStr">
        <is>
          <t>LISTED</t>
        </is>
      </c>
      <c r="Q1030" s="2" t="n"/>
      <c r="R1030" s="2" t="n"/>
      <c r="S1030" s="2" t="n">
        <v>33.57401149652627</v>
      </c>
      <c r="T1030" s="2" t="n">
        <v>-7.612279526727819</v>
      </c>
      <c r="U1030" s="3" t="n">
        <v>4890</v>
      </c>
      <c r="V1030" s="2" t="inlineStr"/>
      <c r="W1030" s="6" t="inlineStr">
        <is>
          <t>https://yakeey.com/fr-ma/achat/biens/57979</t>
        </is>
      </c>
    </row>
    <row r="1031">
      <c r="A1031" t="inlineStr">
        <is>
          <t>62053</t>
        </is>
      </c>
      <c r="B1031" t="inlineStr">
        <is>
          <t>OFFICE</t>
        </is>
      </c>
      <c r="C1031" t="inlineStr">
        <is>
          <t>Plateau</t>
        </is>
      </c>
      <c r="D1031" t="inlineStr">
        <is>
          <t>Casablanca</t>
        </is>
      </c>
      <c r="E1031" s="7" t="n">
        <v>1700000</v>
      </c>
      <c r="F1031" s="8" t="n">
        <v>104</v>
      </c>
      <c r="G1031" s="8" t="n"/>
      <c r="H1031" s="8" t="n"/>
      <c r="I1031" s="9">
        <f>IFERROR(E1031/F1031,"")</f>
        <v/>
      </c>
      <c r="P1031" t="inlineStr">
        <is>
          <t>LISTED</t>
        </is>
      </c>
      <c r="S1031" t="n">
        <v>33.56662252581179</v>
      </c>
      <c r="T1031" t="n">
        <v>-7.637783387179695</v>
      </c>
      <c r="U1031" s="7" t="n">
        <v>9780</v>
      </c>
      <c r="V1031" t="inlineStr"/>
      <c r="W1031" s="10" t="inlineStr">
        <is>
          <t>https://yakeey.com/fr-ma/achat/biens/62053</t>
        </is>
      </c>
    </row>
    <row r="1032">
      <c r="A1032" s="2" t="inlineStr">
        <is>
          <t>64640</t>
        </is>
      </c>
      <c r="B1032" s="2" t="inlineStr">
        <is>
          <t>OFFICE</t>
        </is>
      </c>
      <c r="C1032" s="2" t="inlineStr">
        <is>
          <t>Gauthier</t>
        </is>
      </c>
      <c r="D1032" s="2" t="inlineStr">
        <is>
          <t>Casablanca</t>
        </is>
      </c>
      <c r="E1032" s="3" t="n">
        <v>140000000</v>
      </c>
      <c r="F1032" s="4" t="n">
        <v>9000</v>
      </c>
      <c r="G1032" s="4" t="n"/>
      <c r="H1032" s="4" t="n"/>
      <c r="I1032" s="5">
        <f>IFERROR(E1032/F1032,"")</f>
        <v/>
      </c>
      <c r="J1032" s="2" t="n"/>
      <c r="K1032" s="2" t="n"/>
      <c r="L1032" s="2" t="n"/>
      <c r="M1032" s="2" t="n"/>
      <c r="N1032" s="2" t="n"/>
      <c r="O1032" s="2" t="n"/>
      <c r="P1032" s="2" t="inlineStr">
        <is>
          <t>LISTED</t>
        </is>
      </c>
      <c r="Q1032" s="2" t="n"/>
      <c r="R1032" s="2" t="n"/>
      <c r="S1032" s="2" t="n">
        <v>33.58624548130924</v>
      </c>
      <c r="T1032" s="2" t="n">
        <v>-7.629208938063484</v>
      </c>
      <c r="U1032" s="3" t="n">
        <v>805428</v>
      </c>
      <c r="V1032" s="2" t="inlineStr"/>
      <c r="W1032" s="6" t="inlineStr">
        <is>
          <t>https://yakeey.com/fr-ma/achat/biens/64640</t>
        </is>
      </c>
    </row>
    <row r="1033">
      <c r="A1033" t="inlineStr">
        <is>
          <t>64789</t>
        </is>
      </c>
      <c r="B1033" t="inlineStr">
        <is>
          <t>OFFICE</t>
        </is>
      </c>
      <c r="C1033" t="inlineStr">
        <is>
          <t>Gauthier</t>
        </is>
      </c>
      <c r="D1033" t="inlineStr">
        <is>
          <t>Casablanca</t>
        </is>
      </c>
      <c r="E1033" s="7" t="n">
        <v>4600000</v>
      </c>
      <c r="F1033" s="8" t="n">
        <v>220</v>
      </c>
      <c r="G1033" s="8" t="n"/>
      <c r="H1033" s="8" t="n"/>
      <c r="I1033" s="9">
        <f>IFERROR(E1033/F1033,"")</f>
        <v/>
      </c>
      <c r="P1033" t="inlineStr">
        <is>
          <t>LISTED</t>
        </is>
      </c>
      <c r="S1033" t="n">
        <v>33.59132497147477</v>
      </c>
      <c r="T1033" t="n">
        <v>-7.633506667914331</v>
      </c>
      <c r="U1033" s="7" t="n">
        <v>26464</v>
      </c>
      <c r="V1033" t="inlineStr"/>
      <c r="W1033" s="10" t="inlineStr">
        <is>
          <t>https://yakeey.com/fr-ma/achat/biens/64789</t>
        </is>
      </c>
    </row>
    <row r="1034">
      <c r="A1034" s="2" t="inlineStr">
        <is>
          <t>67721</t>
        </is>
      </c>
      <c r="B1034" s="2" t="inlineStr">
        <is>
          <t>OFFICE</t>
        </is>
      </c>
      <c r="C1034" s="2" t="inlineStr">
        <is>
          <t>Fonciere</t>
        </is>
      </c>
      <c r="D1034" s="2" t="inlineStr">
        <is>
          <t>Casablanca</t>
        </is>
      </c>
      <c r="E1034" s="3" t="n">
        <v>1064000</v>
      </c>
      <c r="F1034" s="4" t="n">
        <v>76</v>
      </c>
      <c r="G1034" s="4" t="n"/>
      <c r="H1034" s="4" t="n"/>
      <c r="I1034" s="5">
        <f>IFERROR(E1034/F1034,"")</f>
        <v/>
      </c>
      <c r="J1034" s="2" t="n"/>
      <c r="K1034" s="2" t="n"/>
      <c r="L1034" s="2" t="n"/>
      <c r="M1034" s="2" t="n"/>
      <c r="N1034" s="2" t="n"/>
      <c r="O1034" s="2" t="n"/>
      <c r="P1034" s="2" t="inlineStr">
        <is>
          <t>LISTED</t>
        </is>
      </c>
      <c r="Q1034" s="2" t="n"/>
      <c r="R1034" s="2" t="n"/>
      <c r="S1034" s="2" t="n">
        <v>33.59456040416458</v>
      </c>
      <c r="T1034" s="2" t="n">
        <v>-7.605768776003324</v>
      </c>
      <c r="U1034" s="3" t="n">
        <v>6121</v>
      </c>
      <c r="V1034" s="2" t="inlineStr"/>
      <c r="W1034" s="6" t="inlineStr">
        <is>
          <t>https://yakeey.com/fr-ma/achat/biens/67721</t>
        </is>
      </c>
    </row>
    <row r="1035">
      <c r="A1035" t="inlineStr">
        <is>
          <t>719</t>
        </is>
      </c>
      <c r="B1035" t="inlineStr">
        <is>
          <t>OFFICE</t>
        </is>
      </c>
      <c r="C1035" t="inlineStr">
        <is>
          <t>Belvedere (Roches Noires)</t>
        </is>
      </c>
      <c r="D1035" t="inlineStr">
        <is>
          <t>Casablanca</t>
        </is>
      </c>
      <c r="E1035" s="7" t="n">
        <v>18000000</v>
      </c>
      <c r="F1035" s="8" t="n">
        <v>494</v>
      </c>
      <c r="G1035" s="8" t="n"/>
      <c r="H1035" s="8" t="n"/>
      <c r="I1035" s="9">
        <f>IFERROR(E1035/F1035,"")</f>
        <v/>
      </c>
      <c r="P1035" t="inlineStr">
        <is>
          <t>LISTED</t>
        </is>
      </c>
      <c r="S1035" t="n">
        <v>33.59042003370699</v>
      </c>
      <c r="T1035" t="n">
        <v>-7.590438444807573</v>
      </c>
      <c r="U1035" s="7" t="n">
        <v>103555</v>
      </c>
      <c r="V1035" t="inlineStr"/>
      <c r="W1035" s="10" t="inlineStr">
        <is>
          <t>https://yakeey.com/fr-ma/achat/biens/719</t>
        </is>
      </c>
    </row>
    <row r="1036">
      <c r="A1036" s="2" t="inlineStr">
        <is>
          <t>75519</t>
        </is>
      </c>
      <c r="B1036" s="2" t="inlineStr">
        <is>
          <t>OFFICE</t>
        </is>
      </c>
      <c r="C1036" s="2" t="inlineStr">
        <is>
          <t>Hopitaux</t>
        </is>
      </c>
      <c r="D1036" s="2" t="inlineStr">
        <is>
          <t>Casablanca</t>
        </is>
      </c>
      <c r="E1036" s="3" t="n">
        <v>1700000</v>
      </c>
      <c r="F1036" s="4" t="n">
        <v>81</v>
      </c>
      <c r="G1036" s="4" t="n"/>
      <c r="H1036" s="4" t="n"/>
      <c r="I1036" s="5">
        <f>IFERROR(E1036/F1036,"")</f>
        <v/>
      </c>
      <c r="J1036" s="2" t="n"/>
      <c r="K1036" s="2" t="n"/>
      <c r="L1036" s="2" t="n"/>
      <c r="M1036" s="2" t="n"/>
      <c r="N1036" s="2" t="n"/>
      <c r="O1036" s="2" t="n"/>
      <c r="P1036" s="2" t="inlineStr">
        <is>
          <t>LISTED</t>
        </is>
      </c>
      <c r="Q1036" s="2" t="n"/>
      <c r="R1036" s="2" t="n"/>
      <c r="S1036" s="2" t="n">
        <v>33.58117938659009</v>
      </c>
      <c r="T1036" s="2" t="n">
        <v>-7.61797793190624</v>
      </c>
      <c r="U1036" s="3" t="n">
        <v>9780</v>
      </c>
      <c r="V1036" s="2" t="inlineStr"/>
      <c r="W1036" s="6" t="inlineStr">
        <is>
          <t>https://yakeey.com/fr-ma/achat/biens/75519</t>
        </is>
      </c>
    </row>
    <row r="1037">
      <c r="A1037" t="inlineStr">
        <is>
          <t>83273</t>
        </is>
      </c>
      <c r="B1037" t="inlineStr">
        <is>
          <t>OFFICE</t>
        </is>
      </c>
      <c r="C1037" t="inlineStr">
        <is>
          <t>Sidi Moumen</t>
        </is>
      </c>
      <c r="D1037" t="inlineStr">
        <is>
          <t>Casablanca</t>
        </is>
      </c>
      <c r="E1037" s="7" t="n">
        <v>1300000</v>
      </c>
      <c r="F1037" s="8" t="n">
        <v>96</v>
      </c>
      <c r="G1037" s="8" t="n"/>
      <c r="H1037" s="8" t="n"/>
      <c r="I1037" s="9">
        <f>IFERROR(E1037/F1037,"")</f>
        <v/>
      </c>
      <c r="P1037" t="inlineStr">
        <is>
          <t>LISTED</t>
        </is>
      </c>
      <c r="S1037" t="n">
        <v>33.58528065413481</v>
      </c>
      <c r="T1037" t="n">
        <v>-7.534043042424887</v>
      </c>
      <c r="U1037" s="7" t="n">
        <v>7478</v>
      </c>
      <c r="V1037" t="inlineStr"/>
      <c r="W1037" s="10" t="inlineStr">
        <is>
          <t>https://yakeey.com/fr-ma/achat/biens/83273</t>
        </is>
      </c>
    </row>
    <row r="1038">
      <c r="A1038" s="2" t="inlineStr">
        <is>
          <t>87770</t>
        </is>
      </c>
      <c r="B1038" s="2" t="inlineStr">
        <is>
          <t>OFFICE</t>
        </is>
      </c>
      <c r="C1038" s="2" t="inlineStr">
        <is>
          <t>Oulfa</t>
        </is>
      </c>
      <c r="D1038" s="2" t="inlineStr">
        <is>
          <t>Casablanca</t>
        </is>
      </c>
      <c r="E1038" s="3" t="n">
        <v>1300000</v>
      </c>
      <c r="F1038" s="4" t="n">
        <v>82</v>
      </c>
      <c r="G1038" s="4" t="n"/>
      <c r="H1038" s="4" t="n"/>
      <c r="I1038" s="5">
        <f>IFERROR(E1038/F1038,"")</f>
        <v/>
      </c>
      <c r="J1038" s="2" t="n"/>
      <c r="K1038" s="2" t="n"/>
      <c r="L1038" s="2" t="n"/>
      <c r="M1038" s="2" t="n"/>
      <c r="N1038" s="2" t="n"/>
      <c r="O1038" s="2" t="n"/>
      <c r="P1038" s="2" t="inlineStr">
        <is>
          <t>LISTED</t>
        </is>
      </c>
      <c r="Q1038" s="2" t="n"/>
      <c r="R1038" s="2" t="n"/>
      <c r="S1038" s="2" t="n">
        <v>33.5451350929259</v>
      </c>
      <c r="T1038" s="2" t="n">
        <v>-7.678595399112642</v>
      </c>
      <c r="U1038" s="3" t="n">
        <v>7478</v>
      </c>
      <c r="V1038" s="2" t="inlineStr"/>
      <c r="W1038" s="6" t="inlineStr">
        <is>
          <t>https://yakeey.com/fr-ma/achat/biens/87770</t>
        </is>
      </c>
    </row>
    <row r="1039">
      <c r="A1039" t="inlineStr">
        <is>
          <t>88091</t>
        </is>
      </c>
      <c r="B1039" t="inlineStr">
        <is>
          <t>OFFICE</t>
        </is>
      </c>
      <c r="C1039" t="inlineStr">
        <is>
          <t>Oulfa</t>
        </is>
      </c>
      <c r="D1039" t="inlineStr">
        <is>
          <t>Casablanca</t>
        </is>
      </c>
      <c r="E1039" s="7" t="n">
        <v>1380000</v>
      </c>
      <c r="F1039" s="8" t="n">
        <v>88</v>
      </c>
      <c r="G1039" s="8" t="n"/>
      <c r="H1039" s="8" t="n"/>
      <c r="I1039" s="9">
        <f>IFERROR(E1039/F1039,"")</f>
        <v/>
      </c>
      <c r="P1039" t="inlineStr">
        <is>
          <t>LISTED</t>
        </is>
      </c>
      <c r="S1039" t="n">
        <v>33.55482197484105</v>
      </c>
      <c r="T1039" t="n">
        <v>-7.6772342962464</v>
      </c>
      <c r="U1039" s="7" t="n">
        <v>7939</v>
      </c>
      <c r="V1039" t="inlineStr"/>
      <c r="W1039" s="10" t="inlineStr">
        <is>
          <t>https://yakeey.com/fr-ma/achat/biens/88091</t>
        </is>
      </c>
    </row>
    <row r="1040">
      <c r="A1040" s="2" t="inlineStr">
        <is>
          <t>PN000340</t>
        </is>
      </c>
      <c r="B1040" s="2" t="inlineStr">
        <is>
          <t>PROGRAMME (COMMERCIAL_BUILDING)</t>
        </is>
      </c>
      <c r="C1040" s="2" t="inlineStr">
        <is>
          <t>Bourgogne (Anfa)</t>
        </is>
      </c>
      <c r="D1040" s="2" t="inlineStr">
        <is>
          <t>Casablanca</t>
        </is>
      </c>
      <c r="E1040" s="3" t="n">
        <v>922000</v>
      </c>
      <c r="F1040" s="4" t="n">
        <v>32</v>
      </c>
      <c r="G1040" s="4" t="n"/>
      <c r="H1040" s="4" t="n"/>
      <c r="I1040" s="5">
        <f>IFERROR(E1040/F1040,"")</f>
        <v/>
      </c>
      <c r="J1040" s="2" t="n">
        <v>1</v>
      </c>
      <c r="K1040" s="2" t="n"/>
      <c r="L1040" s="2" t="n"/>
      <c r="M1040" s="2" t="n"/>
      <c r="N1040" s="2" t="n"/>
      <c r="O1040" s="2" t="n"/>
      <c r="P1040" s="2" t="inlineStr">
        <is>
          <t>READY</t>
        </is>
      </c>
      <c r="Q1040" s="2" t="n"/>
      <c r="R1040" s="2" t="n"/>
      <c r="S1040" s="2" t="n">
        <v>33.60094764602661</v>
      </c>
      <c r="T1040" s="2" t="n">
        <v>-7.646297174219497</v>
      </c>
      <c r="U1040" s="3" t="n"/>
      <c r="V1040" s="2" t="inlineStr"/>
      <c r="W1040" s="6" t="inlineStr">
        <is>
          <t>https://yakeey.com/fr-ma/achat/biens/PN000340</t>
        </is>
      </c>
    </row>
    <row r="1041">
      <c r="A1041" t="inlineStr">
        <is>
          <t>PN000358</t>
        </is>
      </c>
      <c r="B1041" t="inlineStr">
        <is>
          <t>PROGRAMME (COMMERCIAL_BUILDING)</t>
        </is>
      </c>
      <c r="C1041" t="inlineStr">
        <is>
          <t>Les Princesses</t>
        </is>
      </c>
      <c r="D1041" t="inlineStr">
        <is>
          <t>Casablanca</t>
        </is>
      </c>
      <c r="E1041" s="7" t="n">
        <v>3137500</v>
      </c>
      <c r="F1041" s="8" t="n">
        <v>155</v>
      </c>
      <c r="G1041" s="8" t="n"/>
      <c r="H1041" s="8" t="n"/>
      <c r="I1041" s="9">
        <f>IFERROR(E1041/F1041,"")</f>
        <v/>
      </c>
      <c r="J1041" t="n">
        <v>0</v>
      </c>
      <c r="P1041" t="inlineStr">
        <is>
          <t>READY</t>
        </is>
      </c>
      <c r="S1041" t="n">
        <v>33.57718119048305</v>
      </c>
      <c r="T1041" t="n">
        <v>-7.646105922901312</v>
      </c>
      <c r="U1041" s="7" t="n"/>
      <c r="V1041" t="inlineStr"/>
      <c r="W1041" s="10" t="inlineStr">
        <is>
          <t>https://yakeey.com/fr-ma/achat/biens/PN000358</t>
        </is>
      </c>
    </row>
    <row r="1042">
      <c r="A1042" s="2" t="inlineStr">
        <is>
          <t>PN000389</t>
        </is>
      </c>
      <c r="B1042" s="2" t="inlineStr">
        <is>
          <t>PROGRAMME (COMMERCIAL_BUILDING)</t>
        </is>
      </c>
      <c r="C1042" s="2" t="inlineStr">
        <is>
          <t>Oulfa</t>
        </is>
      </c>
      <c r="D1042" s="2" t="inlineStr">
        <is>
          <t>Casablanca</t>
        </is>
      </c>
      <c r="E1042" s="3" t="n">
        <v>1112000</v>
      </c>
      <c r="F1042" s="4" t="n">
        <v>45</v>
      </c>
      <c r="G1042" s="4" t="n"/>
      <c r="H1042" s="4" t="n"/>
      <c r="I1042" s="5">
        <f>IFERROR(E1042/F1042,"")</f>
        <v/>
      </c>
      <c r="J1042" s="2" t="n">
        <v>0</v>
      </c>
      <c r="K1042" s="2" t="n"/>
      <c r="L1042" s="2" t="n"/>
      <c r="M1042" s="2" t="n"/>
      <c r="N1042" s="2" t="n"/>
      <c r="O1042" s="2" t="n"/>
      <c r="P1042" s="2" t="inlineStr">
        <is>
          <t>READY</t>
        </is>
      </c>
      <c r="Q1042" s="2" t="n"/>
      <c r="R1042" s="2" t="n"/>
      <c r="S1042" s="2" t="n">
        <v>33.54167666169482</v>
      </c>
      <c r="T1042" s="2" t="n">
        <v>-7.705533171437814</v>
      </c>
      <c r="U1042" s="3" t="n"/>
      <c r="V1042" s="2" t="inlineStr"/>
      <c r="W1042" s="6" t="inlineStr">
        <is>
          <t>https://yakeey.com/fr-ma/achat/biens/PN000389</t>
        </is>
      </c>
    </row>
    <row r="1043">
      <c r="A1043" t="inlineStr">
        <is>
          <t>PN000400</t>
        </is>
      </c>
      <c r="B1043" t="inlineStr">
        <is>
          <t>PROGRAMME (COMMERCIAL_BUILDING)</t>
        </is>
      </c>
      <c r="C1043" t="inlineStr">
        <is>
          <t>Sidi Messaoud</t>
        </is>
      </c>
      <c r="D1043" t="inlineStr">
        <is>
          <t>Casablanca</t>
        </is>
      </c>
      <c r="E1043" s="7" t="n">
        <v>2000000</v>
      </c>
      <c r="F1043" s="8" t="n">
        <v>50</v>
      </c>
      <c r="G1043" s="8" t="n"/>
      <c r="H1043" s="8" t="n"/>
      <c r="I1043" s="9">
        <f>IFERROR(E1043/F1043,"")</f>
        <v/>
      </c>
      <c r="J1043" t="n">
        <v>0</v>
      </c>
      <c r="P1043" t="inlineStr">
        <is>
          <t>IN_CONSTRUCTION</t>
        </is>
      </c>
      <c r="S1043" t="n">
        <v>33.52409347323648</v>
      </c>
      <c r="T1043" t="n">
        <v>-7.593479533175509</v>
      </c>
      <c r="U1043" s="7" t="n"/>
      <c r="V1043" t="inlineStr"/>
      <c r="W1043" s="10" t="inlineStr">
        <is>
          <t>https://yakeey.com/fr-ma/achat/biens/PN000400</t>
        </is>
      </c>
    </row>
    <row r="1044">
      <c r="A1044" s="2" t="inlineStr">
        <is>
          <t>PN000407</t>
        </is>
      </c>
      <c r="B1044" s="2" t="inlineStr">
        <is>
          <t>PROGRAMME (COMMERCIAL_BUILDING)</t>
        </is>
      </c>
      <c r="C1044" s="2" t="inlineStr">
        <is>
          <t>Beausejour</t>
        </is>
      </c>
      <c r="D1044" s="2" t="inlineStr">
        <is>
          <t>Casablanca</t>
        </is>
      </c>
      <c r="E1044" s="3" t="n">
        <v>754000</v>
      </c>
      <c r="F1044" s="4" t="n">
        <v>29</v>
      </c>
      <c r="G1044" s="4" t="n"/>
      <c r="H1044" s="4" t="n"/>
      <c r="I1044" s="5">
        <f>IFERROR(E1044/F1044,"")</f>
        <v/>
      </c>
      <c r="J1044" s="2" t="n">
        <v>0</v>
      </c>
      <c r="K1044" s="2" t="n"/>
      <c r="L1044" s="2" t="n"/>
      <c r="M1044" s="2" t="n"/>
      <c r="N1044" s="2" t="n"/>
      <c r="O1044" s="2" t="n"/>
      <c r="P1044" s="2" t="inlineStr">
        <is>
          <t>READY</t>
        </is>
      </c>
      <c r="Q1044" s="2" t="n"/>
      <c r="R1044" s="2" t="n"/>
      <c r="S1044" s="2" t="n">
        <v>33.56583690117928</v>
      </c>
      <c r="T1044" s="2" t="n">
        <v>-7.655623265142681</v>
      </c>
      <c r="U1044" s="3" t="n"/>
      <c r="V1044" s="2" t="inlineStr"/>
      <c r="W1044" s="6" t="inlineStr">
        <is>
          <t>https://yakeey.com/fr-ma/achat/biens/PN000407</t>
        </is>
      </c>
    </row>
    <row r="1045">
      <c r="A1045" t="inlineStr">
        <is>
          <t>PN000418</t>
        </is>
      </c>
      <c r="B1045" t="inlineStr">
        <is>
          <t>PROGRAMME (COMMERCIAL_BUILDING)</t>
        </is>
      </c>
      <c r="C1045" t="inlineStr">
        <is>
          <t>Oasis</t>
        </is>
      </c>
      <c r="D1045" t="inlineStr">
        <is>
          <t>Casablanca</t>
        </is>
      </c>
      <c r="E1045" s="7" t="n">
        <v>1500000</v>
      </c>
      <c r="F1045" s="8" t="n">
        <v>50</v>
      </c>
      <c r="G1045" s="8" t="n"/>
      <c r="H1045" s="8" t="n"/>
      <c r="I1045" s="9">
        <f>IFERROR(E1045/F1045,"")</f>
        <v/>
      </c>
      <c r="J1045" t="n">
        <v>0</v>
      </c>
      <c r="P1045" t="inlineStr">
        <is>
          <t>IN_CONSTRUCTION</t>
        </is>
      </c>
      <c r="S1045" t="n">
        <v>33.56966833557563</v>
      </c>
      <c r="T1045" t="n">
        <v>-7.639867533637188</v>
      </c>
      <c r="U1045" s="7" t="n"/>
      <c r="V1045" t="inlineStr"/>
      <c r="W1045" s="10" t="inlineStr">
        <is>
          <t>https://yakeey.com/fr-ma/achat/biens/PN000418</t>
        </is>
      </c>
    </row>
    <row r="1046">
      <c r="A1046" s="2" t="inlineStr">
        <is>
          <t>PN000425</t>
        </is>
      </c>
      <c r="B1046" s="2" t="inlineStr">
        <is>
          <t>PROGRAMME (COMMERCIAL_BUILDING)</t>
        </is>
      </c>
      <c r="C1046" s="2" t="inlineStr">
        <is>
          <t>Sidi Maarouf</t>
        </is>
      </c>
      <c r="D1046" s="2" t="inlineStr">
        <is>
          <t>Casablanca</t>
        </is>
      </c>
      <c r="E1046" s="3" t="n">
        <v>3060000</v>
      </c>
      <c r="F1046" s="4" t="n">
        <v>108</v>
      </c>
      <c r="G1046" s="4" t="n"/>
      <c r="H1046" s="4" t="n"/>
      <c r="I1046" s="5">
        <f>IFERROR(E1046/F1046,"")</f>
        <v/>
      </c>
      <c r="J1046" s="2" t="n">
        <v>0</v>
      </c>
      <c r="K1046" s="2" t="n"/>
      <c r="L1046" s="2" t="n"/>
      <c r="M1046" s="2" t="n"/>
      <c r="N1046" s="2" t="n"/>
      <c r="O1046" s="2" t="n"/>
      <c r="P1046" s="2" t="inlineStr">
        <is>
          <t>IN_CONSTRUCTION</t>
        </is>
      </c>
      <c r="Q1046" s="2" t="n"/>
      <c r="R1046" s="2" t="n"/>
      <c r="S1046" s="2" t="n">
        <v>33.51824727874217</v>
      </c>
      <c r="T1046" s="2" t="n">
        <v>-7.636362167188457</v>
      </c>
      <c r="U1046" s="3" t="n"/>
      <c r="V1046" s="2" t="inlineStr"/>
      <c r="W1046" s="6" t="inlineStr">
        <is>
          <t>https://yakeey.com/fr-ma/achat/biens/PN000425</t>
        </is>
      </c>
    </row>
    <row r="1047">
      <c r="A1047" t="inlineStr">
        <is>
          <t>PN000325</t>
        </is>
      </c>
      <c r="B1047" t="inlineStr">
        <is>
          <t>PROGRAMME (FLAT)</t>
        </is>
      </c>
      <c r="C1047" t="inlineStr">
        <is>
          <t>Sidi Bernoussi</t>
        </is>
      </c>
      <c r="D1047" t="inlineStr">
        <is>
          <t>Casablanca</t>
        </is>
      </c>
      <c r="E1047" s="7" t="n">
        <v>720000</v>
      </c>
      <c r="F1047" s="8" t="n">
        <v>82</v>
      </c>
      <c r="G1047" s="8" t="n"/>
      <c r="H1047" s="8" t="n"/>
      <c r="I1047" s="9">
        <f>IFERROR(E1047/F1047,"")</f>
        <v/>
      </c>
      <c r="J1047" t="n">
        <v>3</v>
      </c>
      <c r="P1047" t="inlineStr">
        <is>
          <t>READY</t>
        </is>
      </c>
      <c r="S1047" t="n">
        <v>33.62342429805192</v>
      </c>
      <c r="T1047" t="n">
        <v>-7.485808641725969</v>
      </c>
      <c r="U1047" s="7" t="n"/>
      <c r="V1047" t="inlineStr"/>
      <c r="W1047" s="10" t="inlineStr">
        <is>
          <t>https://yakeey.com/fr-ma/achat/biens/PN000325</t>
        </is>
      </c>
    </row>
    <row r="1048">
      <c r="A1048" s="2" t="inlineStr">
        <is>
          <t>PN000326</t>
        </is>
      </c>
      <c r="B1048" s="2" t="inlineStr">
        <is>
          <t>PROGRAMME (FLAT)</t>
        </is>
      </c>
      <c r="C1048" s="2" t="inlineStr">
        <is>
          <t>Oasis</t>
        </is>
      </c>
      <c r="D1048" s="2" t="inlineStr">
        <is>
          <t>Casablanca</t>
        </is>
      </c>
      <c r="E1048" s="3" t="n">
        <v>1793000</v>
      </c>
      <c r="F1048" s="4" t="n">
        <v>85</v>
      </c>
      <c r="G1048" s="4" t="n"/>
      <c r="H1048" s="4" t="n"/>
      <c r="I1048" s="5">
        <f>IFERROR(E1048/F1048,"")</f>
        <v/>
      </c>
      <c r="J1048" s="2" t="n">
        <v>2</v>
      </c>
      <c r="K1048" s="2" t="n"/>
      <c r="L1048" s="2" t="n"/>
      <c r="M1048" s="2" t="n"/>
      <c r="N1048" s="2" t="n"/>
      <c r="O1048" s="2" t="n"/>
      <c r="P1048" s="2" t="inlineStr">
        <is>
          <t>READY</t>
        </is>
      </c>
      <c r="Q1048" s="2" t="n"/>
      <c r="R1048" s="2" t="n"/>
      <c r="S1048" s="2" t="n">
        <v>33.559254141323</v>
      </c>
      <c r="T1048" s="2" t="n">
        <v>-7.644003944378413</v>
      </c>
      <c r="U1048" s="3" t="n"/>
      <c r="V1048" s="2" t="inlineStr"/>
      <c r="W1048" s="6" t="inlineStr">
        <is>
          <t>https://yakeey.com/fr-ma/achat/biens/PN000326</t>
        </is>
      </c>
    </row>
    <row r="1049">
      <c r="A1049" t="inlineStr">
        <is>
          <t>PN000329</t>
        </is>
      </c>
      <c r="B1049" t="inlineStr">
        <is>
          <t>PROGRAMME (FLAT)</t>
        </is>
      </c>
      <c r="C1049" t="inlineStr">
        <is>
          <t>Triangle D'Or</t>
        </is>
      </c>
      <c r="D1049" t="inlineStr">
        <is>
          <t>Casablanca</t>
        </is>
      </c>
      <c r="E1049" s="7" t="n">
        <v>1780000</v>
      </c>
      <c r="F1049" s="8" t="n">
        <v>31</v>
      </c>
      <c r="G1049" s="8" t="n"/>
      <c r="H1049" s="8" t="n"/>
      <c r="I1049" s="9">
        <f>IFERROR(E1049/F1049,"")</f>
        <v/>
      </c>
      <c r="J1049" t="n">
        <v>1</v>
      </c>
      <c r="P1049" t="inlineStr">
        <is>
          <t>IN_CONSTRUCTION</t>
        </is>
      </c>
      <c r="S1049" t="n">
        <v>33.58858735551476</v>
      </c>
      <c r="T1049" t="n">
        <v>-7.637850588505455</v>
      </c>
      <c r="U1049" s="7" t="n"/>
      <c r="V1049" t="inlineStr"/>
      <c r="W1049" s="10" t="inlineStr">
        <is>
          <t>https://yakeey.com/fr-ma/achat/biens/PN000329</t>
        </is>
      </c>
    </row>
    <row r="1050">
      <c r="A1050" s="2" t="inlineStr">
        <is>
          <t>PN000331</t>
        </is>
      </c>
      <c r="B1050" s="2" t="inlineStr">
        <is>
          <t>PROGRAMME (FLAT)</t>
        </is>
      </c>
      <c r="C1050" s="2" t="inlineStr">
        <is>
          <t>Sidi Abderrahman Extension</t>
        </is>
      </c>
      <c r="D1050" s="2" t="inlineStr">
        <is>
          <t>Casablanca</t>
        </is>
      </c>
      <c r="E1050" s="3" t="n">
        <v>4465000</v>
      </c>
      <c r="F1050" s="4" t="n">
        <v>246</v>
      </c>
      <c r="G1050" s="4" t="n"/>
      <c r="H1050" s="4" t="n"/>
      <c r="I1050" s="5">
        <f>IFERROR(E1050/F1050,"")</f>
        <v/>
      </c>
      <c r="J1050" s="2" t="n">
        <v>3</v>
      </c>
      <c r="K1050" s="2" t="n"/>
      <c r="L1050" s="2" t="n"/>
      <c r="M1050" s="2" t="n"/>
      <c r="N1050" s="2" t="n"/>
      <c r="O1050" s="2" t="n"/>
      <c r="P1050" s="2" t="inlineStr">
        <is>
          <t>READY</t>
        </is>
      </c>
      <c r="Q1050" s="2" t="n"/>
      <c r="R1050" s="2" t="n"/>
      <c r="S1050" s="2" t="n">
        <v>33.56432491153662</v>
      </c>
      <c r="T1050" s="2" t="n">
        <v>-7.717925934950165</v>
      </c>
      <c r="U1050" s="3" t="n"/>
      <c r="V1050" s="2" t="inlineStr"/>
      <c r="W1050" s="6" t="inlineStr">
        <is>
          <t>https://yakeey.com/fr-ma/achat/biens/PN000331</t>
        </is>
      </c>
    </row>
    <row r="1051">
      <c r="A1051" t="inlineStr">
        <is>
          <t>PN000332</t>
        </is>
      </c>
      <c r="B1051" t="inlineStr">
        <is>
          <t>PROGRAMME (FLAT)</t>
        </is>
      </c>
      <c r="C1051" t="inlineStr">
        <is>
          <t>Sidi Abderrahman Extension</t>
        </is>
      </c>
      <c r="D1051" t="inlineStr">
        <is>
          <t>Casablanca</t>
        </is>
      </c>
      <c r="E1051" s="7" t="n">
        <v>2564000</v>
      </c>
      <c r="F1051" s="8" t="n">
        <v>114</v>
      </c>
      <c r="G1051" s="8" t="n"/>
      <c r="H1051" s="8" t="n"/>
      <c r="I1051" s="9">
        <f>IFERROR(E1051/F1051,"")</f>
        <v/>
      </c>
      <c r="J1051" t="n">
        <v>2</v>
      </c>
      <c r="P1051" t="inlineStr">
        <is>
          <t>IN_CONSTRUCTION</t>
        </is>
      </c>
      <c r="S1051" t="n">
        <v>33.56634560850368</v>
      </c>
      <c r="T1051" t="n">
        <v>-7.71471120360528</v>
      </c>
      <c r="U1051" s="7" t="n"/>
      <c r="V1051" t="inlineStr"/>
      <c r="W1051" s="10" t="inlineStr">
        <is>
          <t>https://yakeey.com/fr-ma/achat/biens/PN000332</t>
        </is>
      </c>
    </row>
    <row r="1052">
      <c r="A1052" s="2" t="inlineStr">
        <is>
          <t>PN000337</t>
        </is>
      </c>
      <c r="B1052" s="2" t="inlineStr">
        <is>
          <t>PROGRAMME (FLAT)</t>
        </is>
      </c>
      <c r="C1052" s="2" t="inlineStr">
        <is>
          <t>Sidi Messaoud</t>
        </is>
      </c>
      <c r="D1052" s="2" t="inlineStr">
        <is>
          <t>Casablanca</t>
        </is>
      </c>
      <c r="E1052" s="3" t="n">
        <v>1815000</v>
      </c>
      <c r="F1052" s="4" t="n">
        <v>8</v>
      </c>
      <c r="G1052" s="4" t="n"/>
      <c r="H1052" s="4" t="n"/>
      <c r="I1052" s="5">
        <f>IFERROR(E1052/F1052,"")</f>
        <v/>
      </c>
      <c r="J1052" s="2" t="n">
        <v>3</v>
      </c>
      <c r="K1052" s="2" t="n"/>
      <c r="L1052" s="2" t="n"/>
      <c r="M1052" s="2" t="n"/>
      <c r="N1052" s="2" t="n"/>
      <c r="O1052" s="2" t="n"/>
      <c r="P1052" s="2" t="inlineStr">
        <is>
          <t>IN_CONSTRUCTION</t>
        </is>
      </c>
      <c r="Q1052" s="2" t="n"/>
      <c r="R1052" s="2" t="n"/>
      <c r="S1052" s="2" t="n">
        <v>33.52528053878115</v>
      </c>
      <c r="T1052" s="2" t="n">
        <v>-7.596509630425877</v>
      </c>
      <c r="U1052" s="3" t="n"/>
      <c r="V1052" s="2" t="inlineStr"/>
      <c r="W1052" s="6" t="inlineStr">
        <is>
          <t>https://yakeey.com/fr-ma/achat/biens/PN000337</t>
        </is>
      </c>
    </row>
    <row r="1053">
      <c r="A1053" t="inlineStr">
        <is>
          <t>PN000338</t>
        </is>
      </c>
      <c r="B1053" t="inlineStr">
        <is>
          <t>PROGRAMME (FLAT)</t>
        </is>
      </c>
      <c r="C1053" t="inlineStr">
        <is>
          <t>Ain Diab Extension 2</t>
        </is>
      </c>
      <c r="D1053" t="inlineStr">
        <is>
          <t>Casablanca</t>
        </is>
      </c>
      <c r="E1053" s="7" t="n">
        <v>1140000</v>
      </c>
      <c r="F1053" s="8" t="n">
        <v>81</v>
      </c>
      <c r="G1053" s="8" t="n"/>
      <c r="H1053" s="8" t="n"/>
      <c r="I1053" s="9">
        <f>IFERROR(E1053/F1053,"")</f>
        <v/>
      </c>
      <c r="J1053" t="n">
        <v>2</v>
      </c>
      <c r="P1053" t="inlineStr">
        <is>
          <t>IN_CONSTRUCTION</t>
        </is>
      </c>
      <c r="S1053" t="n">
        <v>33.5634167596538</v>
      </c>
      <c r="T1053" t="n">
        <v>-7.69957378507578</v>
      </c>
      <c r="U1053" s="7" t="n"/>
      <c r="V1053" t="inlineStr"/>
      <c r="W1053" s="10" t="inlineStr">
        <is>
          <t>https://yakeey.com/fr-ma/achat/biens/PN000338</t>
        </is>
      </c>
    </row>
    <row r="1054">
      <c r="A1054" s="2" t="inlineStr">
        <is>
          <t>PN000339</t>
        </is>
      </c>
      <c r="B1054" s="2" t="inlineStr">
        <is>
          <t>PROGRAMME (FLAT)</t>
        </is>
      </c>
      <c r="C1054" s="2" t="inlineStr">
        <is>
          <t>Sidi Messaoud</t>
        </is>
      </c>
      <c r="D1054" s="2" t="inlineStr">
        <is>
          <t>Casablanca</t>
        </is>
      </c>
      <c r="E1054" s="3" t="n">
        <v>808500</v>
      </c>
      <c r="F1054" s="4" t="n">
        <v>41</v>
      </c>
      <c r="G1054" s="4" t="n"/>
      <c r="H1054" s="4" t="n"/>
      <c r="I1054" s="5">
        <f>IFERROR(E1054/F1054,"")</f>
        <v/>
      </c>
      <c r="J1054" s="2" t="n">
        <v>1</v>
      </c>
      <c r="K1054" s="2" t="n"/>
      <c r="L1054" s="2" t="n"/>
      <c r="M1054" s="2" t="n"/>
      <c r="N1054" s="2" t="n"/>
      <c r="O1054" s="2" t="n"/>
      <c r="P1054" s="2" t="inlineStr">
        <is>
          <t>IN_CONSTRUCTION</t>
        </is>
      </c>
      <c r="Q1054" s="2" t="n"/>
      <c r="R1054" s="2" t="n"/>
      <c r="S1054" s="2" t="n">
        <v>33.51101834512345</v>
      </c>
      <c r="T1054" s="2" t="n">
        <v>-7.621975323723977</v>
      </c>
      <c r="U1054" s="3" t="n"/>
      <c r="V1054" s="2" t="inlineStr"/>
      <c r="W1054" s="6" t="inlineStr">
        <is>
          <t>https://yakeey.com/fr-ma/achat/biens/PN000339</t>
        </is>
      </c>
    </row>
    <row r="1055">
      <c r="A1055" t="inlineStr">
        <is>
          <t>PN000342</t>
        </is>
      </c>
      <c r="B1055" t="inlineStr">
        <is>
          <t>PROGRAMME (FLAT)</t>
        </is>
      </c>
      <c r="C1055" t="inlineStr">
        <is>
          <t>Casablanca Finance City</t>
        </is>
      </c>
      <c r="D1055" t="inlineStr">
        <is>
          <t>Casablanca</t>
        </is>
      </c>
      <c r="E1055" s="7" t="n">
        <v>2690000</v>
      </c>
      <c r="F1055" s="8" t="n">
        <v>106</v>
      </c>
      <c r="G1055" s="8" t="n"/>
      <c r="H1055" s="8" t="n"/>
      <c r="I1055" s="9">
        <f>IFERROR(E1055/F1055,"")</f>
        <v/>
      </c>
      <c r="J1055" t="n">
        <v>2</v>
      </c>
      <c r="P1055" t="inlineStr">
        <is>
          <t>READY</t>
        </is>
      </c>
      <c r="S1055" t="n">
        <v>33.56250156269653</v>
      </c>
      <c r="T1055" t="n">
        <v>-7.652446699892314</v>
      </c>
      <c r="U1055" s="7" t="n"/>
      <c r="V1055" t="inlineStr"/>
      <c r="W1055" s="10" t="inlineStr">
        <is>
          <t>https://yakeey.com/fr-ma/achat/biens/PN000342</t>
        </is>
      </c>
    </row>
    <row r="1056">
      <c r="A1056" s="2" t="inlineStr">
        <is>
          <t>PN000343</t>
        </is>
      </c>
      <c r="B1056" s="2" t="inlineStr">
        <is>
          <t>PROGRAMME (FLAT)</t>
        </is>
      </c>
      <c r="C1056" s="2" t="inlineStr">
        <is>
          <t>Oasis</t>
        </is>
      </c>
      <c r="D1056" s="2" t="inlineStr">
        <is>
          <t>Casablanca</t>
        </is>
      </c>
      <c r="E1056" s="3" t="n">
        <v>2010333</v>
      </c>
      <c r="F1056" s="4" t="n">
        <v>148</v>
      </c>
      <c r="G1056" s="4" t="n"/>
      <c r="H1056" s="4" t="n"/>
      <c r="I1056" s="5">
        <f>IFERROR(E1056/F1056,"")</f>
        <v/>
      </c>
      <c r="J1056" s="2" t="n">
        <v>2</v>
      </c>
      <c r="K1056" s="2" t="n"/>
      <c r="L1056" s="2" t="n"/>
      <c r="M1056" s="2" t="n"/>
      <c r="N1056" s="2" t="n"/>
      <c r="O1056" s="2" t="n"/>
      <c r="P1056" s="2" t="inlineStr">
        <is>
          <t>READY</t>
        </is>
      </c>
      <c r="Q1056" s="2" t="n"/>
      <c r="R1056" s="2" t="n"/>
      <c r="S1056" s="2" t="n">
        <v>33.5565952120553</v>
      </c>
      <c r="T1056" s="2" t="n">
        <v>-7.631571963193599</v>
      </c>
      <c r="U1056" s="3" t="n"/>
      <c r="V1056" s="2" t="inlineStr"/>
      <c r="W1056" s="6" t="inlineStr">
        <is>
          <t>https://yakeey.com/fr-ma/achat/biens/PN000343</t>
        </is>
      </c>
    </row>
    <row r="1057">
      <c r="A1057" t="inlineStr">
        <is>
          <t>PN000350</t>
        </is>
      </c>
      <c r="B1057" t="inlineStr">
        <is>
          <t>PROGRAMME (FLAT)</t>
        </is>
      </c>
      <c r="C1057" t="inlineStr">
        <is>
          <t>Oulfa</t>
        </is>
      </c>
      <c r="D1057" t="inlineStr">
        <is>
          <t>Casablanca</t>
        </is>
      </c>
      <c r="E1057" s="7" t="n">
        <v>1008000</v>
      </c>
      <c r="F1057" s="8" t="n">
        <v>81</v>
      </c>
      <c r="G1057" s="8" t="n"/>
      <c r="H1057" s="8" t="n"/>
      <c r="I1057" s="9">
        <f>IFERROR(E1057/F1057,"")</f>
        <v/>
      </c>
      <c r="J1057" t="n">
        <v>2</v>
      </c>
      <c r="P1057" t="inlineStr">
        <is>
          <t>READY</t>
        </is>
      </c>
      <c r="S1057" t="n">
        <v>33.54764463187697</v>
      </c>
      <c r="T1057" t="n">
        <v>-7.678986134310711</v>
      </c>
      <c r="U1057" s="7" t="n"/>
      <c r="V1057" t="inlineStr"/>
      <c r="W1057" s="10" t="inlineStr">
        <is>
          <t>https://yakeey.com/fr-ma/achat/biens/PN000350</t>
        </is>
      </c>
    </row>
    <row r="1058">
      <c r="A1058" s="2" t="inlineStr">
        <is>
          <t>PN000355</t>
        </is>
      </c>
      <c r="B1058" s="2" t="inlineStr">
        <is>
          <t>PROGRAMME (FLAT)</t>
        </is>
      </c>
      <c r="C1058" s="2" t="inlineStr">
        <is>
          <t>Bachkou</t>
        </is>
      </c>
      <c r="D1058" s="2" t="inlineStr">
        <is>
          <t>Casablanca</t>
        </is>
      </c>
      <c r="E1058" s="3" t="n">
        <v>1488000</v>
      </c>
      <c r="F1058" s="4" t="n">
        <v>84</v>
      </c>
      <c r="G1058" s="4" t="n"/>
      <c r="H1058" s="4" t="n"/>
      <c r="I1058" s="5">
        <f>IFERROR(E1058/F1058,"")</f>
        <v/>
      </c>
      <c r="J1058" s="2" t="n">
        <v>2</v>
      </c>
      <c r="K1058" s="2" t="n"/>
      <c r="L1058" s="2" t="n"/>
      <c r="M1058" s="2" t="n"/>
      <c r="N1058" s="2" t="n"/>
      <c r="O1058" s="2" t="n"/>
      <c r="P1058" s="2" t="inlineStr">
        <is>
          <t>READY</t>
        </is>
      </c>
      <c r="Q1058" s="2" t="n"/>
      <c r="R1058" s="2" t="n"/>
      <c r="S1058" s="2" t="n">
        <v>33.55833523655755</v>
      </c>
      <c r="T1058" s="2" t="n">
        <v>-7.624014184036078</v>
      </c>
      <c r="U1058" s="3" t="n"/>
      <c r="V1058" s="2" t="inlineStr"/>
      <c r="W1058" s="6" t="inlineStr">
        <is>
          <t>https://yakeey.com/fr-ma/achat/biens/PN000355</t>
        </is>
      </c>
    </row>
    <row r="1059">
      <c r="A1059" t="inlineStr">
        <is>
          <t>PN000356</t>
        </is>
      </c>
      <c r="B1059" t="inlineStr">
        <is>
          <t>PROGRAMME (FLAT)</t>
        </is>
      </c>
      <c r="C1059" t="inlineStr">
        <is>
          <t>Beausejour</t>
        </is>
      </c>
      <c r="D1059" t="inlineStr">
        <is>
          <t>Casablanca</t>
        </is>
      </c>
      <c r="E1059" s="7" t="n">
        <v>1800000</v>
      </c>
      <c r="F1059" s="8" t="n">
        <v>129</v>
      </c>
      <c r="G1059" s="8" t="n"/>
      <c r="H1059" s="8" t="n"/>
      <c r="I1059" s="9">
        <f>IFERROR(E1059/F1059,"")</f>
        <v/>
      </c>
      <c r="J1059" t="n">
        <v>2</v>
      </c>
      <c r="P1059" t="inlineStr">
        <is>
          <t>READY</t>
        </is>
      </c>
      <c r="S1059" t="n">
        <v>33.56782547590721</v>
      </c>
      <c r="T1059" t="n">
        <v>-7.651632233866801</v>
      </c>
      <c r="U1059" s="7" t="n"/>
      <c r="V1059" t="inlineStr"/>
      <c r="W1059" s="10" t="inlineStr">
        <is>
          <t>https://yakeey.com/fr-ma/achat/biens/PN000356</t>
        </is>
      </c>
    </row>
    <row r="1060">
      <c r="A1060" s="2" t="inlineStr">
        <is>
          <t>PN000357</t>
        </is>
      </c>
      <c r="B1060" s="2" t="inlineStr">
        <is>
          <t>PROGRAMME (FLAT)</t>
        </is>
      </c>
      <c r="C1060" s="2" t="inlineStr">
        <is>
          <t>Ain Sebaa</t>
        </is>
      </c>
      <c r="D1060" s="2" t="inlineStr">
        <is>
          <t>Casablanca</t>
        </is>
      </c>
      <c r="E1060" s="3" t="n">
        <v>900000</v>
      </c>
      <c r="F1060" s="4" t="n">
        <v>85</v>
      </c>
      <c r="G1060" s="4" t="n"/>
      <c r="H1060" s="4" t="n"/>
      <c r="I1060" s="5">
        <f>IFERROR(E1060/F1060,"")</f>
        <v/>
      </c>
      <c r="J1060" s="2" t="n">
        <v>2</v>
      </c>
      <c r="K1060" s="2" t="n"/>
      <c r="L1060" s="2" t="n"/>
      <c r="M1060" s="2" t="n"/>
      <c r="N1060" s="2" t="n"/>
      <c r="O1060" s="2" t="n"/>
      <c r="P1060" s="2" t="inlineStr">
        <is>
          <t>READY</t>
        </is>
      </c>
      <c r="Q1060" s="2" t="n"/>
      <c r="R1060" s="2" t="n"/>
      <c r="S1060" s="2" t="n">
        <v>33.60023315109573</v>
      </c>
      <c r="T1060" s="2" t="n">
        <v>-7.512381994889421</v>
      </c>
      <c r="U1060" s="3" t="n"/>
      <c r="V1060" s="2" t="inlineStr"/>
      <c r="W1060" s="6" t="inlineStr">
        <is>
          <t>https://yakeey.com/fr-ma/achat/biens/PN000357</t>
        </is>
      </c>
    </row>
    <row r="1061">
      <c r="A1061" t="inlineStr">
        <is>
          <t>PN000359</t>
        </is>
      </c>
      <c r="B1061" t="inlineStr">
        <is>
          <t>PROGRAMME (FLAT)</t>
        </is>
      </c>
      <c r="C1061" t="inlineStr">
        <is>
          <t>Les Princesses</t>
        </is>
      </c>
      <c r="D1061" t="inlineStr">
        <is>
          <t>Casablanca</t>
        </is>
      </c>
      <c r="E1061" s="7" t="n">
        <v>2020000</v>
      </c>
      <c r="F1061" s="8" t="n">
        <v>107</v>
      </c>
      <c r="G1061" s="8" t="n"/>
      <c r="H1061" s="8" t="n"/>
      <c r="I1061" s="9">
        <f>IFERROR(E1061/F1061,"")</f>
        <v/>
      </c>
      <c r="J1061" t="n">
        <v>2</v>
      </c>
      <c r="P1061" t="inlineStr">
        <is>
          <t>READY</t>
        </is>
      </c>
      <c r="S1061" t="n">
        <v>33.57701493843929</v>
      </c>
      <c r="T1061" t="n">
        <v>-7.64686756260948</v>
      </c>
      <c r="U1061" s="7" t="n"/>
      <c r="V1061" t="inlineStr"/>
      <c r="W1061" s="10" t="inlineStr">
        <is>
          <t>https://yakeey.com/fr-ma/achat/biens/PN000359</t>
        </is>
      </c>
    </row>
    <row r="1062">
      <c r="A1062" s="2" t="inlineStr">
        <is>
          <t>PN000361</t>
        </is>
      </c>
      <c r="B1062" s="2" t="inlineStr">
        <is>
          <t>PROGRAMME (FLAT)</t>
        </is>
      </c>
      <c r="C1062" s="2" t="inlineStr">
        <is>
          <t>Sidi Maarouf</t>
        </is>
      </c>
      <c r="D1062" s="2" t="inlineStr">
        <is>
          <t>Casablanca</t>
        </is>
      </c>
      <c r="E1062" s="3" t="n">
        <v>860948</v>
      </c>
      <c r="F1062" s="4" t="n">
        <v>77</v>
      </c>
      <c r="G1062" s="4" t="n"/>
      <c r="H1062" s="4" t="n"/>
      <c r="I1062" s="5">
        <f>IFERROR(E1062/F1062,"")</f>
        <v/>
      </c>
      <c r="J1062" s="2" t="n">
        <v>2</v>
      </c>
      <c r="K1062" s="2" t="n"/>
      <c r="L1062" s="2" t="n"/>
      <c r="M1062" s="2" t="n"/>
      <c r="N1062" s="2" t="n"/>
      <c r="O1062" s="2" t="n"/>
      <c r="P1062" s="2" t="inlineStr">
        <is>
          <t>IN_CONSTRUCTION</t>
        </is>
      </c>
      <c r="Q1062" s="2" t="n"/>
      <c r="R1062" s="2" t="n"/>
      <c r="S1062" s="2" t="n">
        <v>33.51423351206047</v>
      </c>
      <c r="T1062" s="2" t="n">
        <v>-7.645055556265373</v>
      </c>
      <c r="U1062" s="3" t="n"/>
      <c r="V1062" s="2" t="inlineStr"/>
      <c r="W1062" s="6" t="inlineStr">
        <is>
          <t>https://yakeey.com/fr-ma/achat/biens/PN000361</t>
        </is>
      </c>
    </row>
    <row r="1063">
      <c r="A1063" t="inlineStr">
        <is>
          <t>PN000372</t>
        </is>
      </c>
      <c r="B1063" t="inlineStr">
        <is>
          <t>PROGRAMME (FLAT)</t>
        </is>
      </c>
      <c r="C1063" t="inlineStr">
        <is>
          <t>Ferme Bretonne</t>
        </is>
      </c>
      <c r="D1063" t="inlineStr">
        <is>
          <t>Casablanca</t>
        </is>
      </c>
      <c r="E1063" s="7" t="n">
        <v>1210000</v>
      </c>
      <c r="F1063" s="8" t="n">
        <v>42</v>
      </c>
      <c r="G1063" s="8" t="n"/>
      <c r="H1063" s="8" t="n"/>
      <c r="I1063" s="9">
        <f>IFERROR(E1063/F1063,"")</f>
        <v/>
      </c>
      <c r="J1063" t="n">
        <v>1</v>
      </c>
      <c r="P1063" t="inlineStr">
        <is>
          <t>IN_CONSTRUCTION</t>
        </is>
      </c>
      <c r="S1063" t="n">
        <v>33.56629895091368</v>
      </c>
      <c r="T1063" t="n">
        <v>-7.646441479804421</v>
      </c>
      <c r="U1063" s="7" t="n"/>
      <c r="V1063" t="inlineStr"/>
      <c r="W1063" s="10" t="inlineStr">
        <is>
          <t>https://yakeey.com/fr-ma/achat/biens/PN000372</t>
        </is>
      </c>
    </row>
    <row r="1064">
      <c r="A1064" s="2" t="inlineStr">
        <is>
          <t>PN000375</t>
        </is>
      </c>
      <c r="B1064" s="2" t="inlineStr">
        <is>
          <t>PROGRAMME (FLAT)</t>
        </is>
      </c>
      <c r="C1064" s="2" t="inlineStr">
        <is>
          <t>Derb Ghalef</t>
        </is>
      </c>
      <c r="D1064" s="2" t="inlineStr">
        <is>
          <t>Casablanca</t>
        </is>
      </c>
      <c r="E1064" s="3" t="n">
        <v>1188000</v>
      </c>
      <c r="F1064" s="4" t="n">
        <v>72</v>
      </c>
      <c r="G1064" s="4" t="n"/>
      <c r="H1064" s="4" t="n"/>
      <c r="I1064" s="5">
        <f>IFERROR(E1064/F1064,"")</f>
        <v/>
      </c>
      <c r="J1064" s="2" t="n">
        <v>2</v>
      </c>
      <c r="K1064" s="2" t="n"/>
      <c r="L1064" s="2" t="n"/>
      <c r="M1064" s="2" t="n"/>
      <c r="N1064" s="2" t="n"/>
      <c r="O1064" s="2" t="n"/>
      <c r="P1064" s="2" t="inlineStr">
        <is>
          <t>READY</t>
        </is>
      </c>
      <c r="Q1064" s="2" t="n"/>
      <c r="R1064" s="2" t="n"/>
      <c r="S1064" s="2" t="n">
        <v>33.57354821366968</v>
      </c>
      <c r="T1064" s="2" t="n">
        <v>-7.630042191588157</v>
      </c>
      <c r="U1064" s="3" t="n"/>
      <c r="V1064" s="2" t="inlineStr"/>
      <c r="W1064" s="6" t="inlineStr">
        <is>
          <t>https://yakeey.com/fr-ma/achat/biens/PN000375</t>
        </is>
      </c>
    </row>
    <row r="1065">
      <c r="A1065" t="inlineStr">
        <is>
          <t>PN000381</t>
        </is>
      </c>
      <c r="B1065" t="inlineStr">
        <is>
          <t>PROGRAMME (FLAT)</t>
        </is>
      </c>
      <c r="C1065" t="inlineStr">
        <is>
          <t>Sidi Messaoud</t>
        </is>
      </c>
      <c r="D1065" t="inlineStr">
        <is>
          <t>Casablanca</t>
        </is>
      </c>
      <c r="E1065" s="7" t="n">
        <v>934000</v>
      </c>
      <c r="F1065" s="8" t="n">
        <v>68</v>
      </c>
      <c r="G1065" s="8" t="n"/>
      <c r="H1065" s="8" t="n"/>
      <c r="I1065" s="9">
        <f>IFERROR(E1065/F1065,"")</f>
        <v/>
      </c>
      <c r="J1065" t="n">
        <v>2</v>
      </c>
      <c r="P1065" t="inlineStr">
        <is>
          <t>READY</t>
        </is>
      </c>
      <c r="S1065" t="n">
        <v>33.5233065773878</v>
      </c>
      <c r="T1065" t="n">
        <v>-7.600183529483983</v>
      </c>
      <c r="U1065" s="7" t="n"/>
      <c r="V1065" t="inlineStr"/>
      <c r="W1065" s="10" t="inlineStr">
        <is>
          <t>https://yakeey.com/fr-ma/achat/biens/PN000381</t>
        </is>
      </c>
    </row>
    <row r="1066">
      <c r="A1066" s="2" t="inlineStr">
        <is>
          <t>PN000383</t>
        </is>
      </c>
      <c r="B1066" s="2" t="inlineStr">
        <is>
          <t>PROGRAMME (FLAT)</t>
        </is>
      </c>
      <c r="C1066" s="2" t="inlineStr">
        <is>
          <t>Ain Diab Extension 2</t>
        </is>
      </c>
      <c r="D1066" s="2" t="inlineStr">
        <is>
          <t>Casablanca</t>
        </is>
      </c>
      <c r="E1066" s="3" t="n">
        <v>1950000</v>
      </c>
      <c r="F1066" s="4" t="n">
        <v>120</v>
      </c>
      <c r="G1066" s="4" t="n"/>
      <c r="H1066" s="4" t="n"/>
      <c r="I1066" s="5">
        <f>IFERROR(E1066/F1066,"")</f>
        <v/>
      </c>
      <c r="J1066" s="2" t="n">
        <v>3</v>
      </c>
      <c r="K1066" s="2" t="n"/>
      <c r="L1066" s="2" t="n"/>
      <c r="M1066" s="2" t="n"/>
      <c r="N1066" s="2" t="n"/>
      <c r="O1066" s="2" t="n"/>
      <c r="P1066" s="2" t="inlineStr">
        <is>
          <t>READY</t>
        </is>
      </c>
      <c r="Q1066" s="2" t="n"/>
      <c r="R1066" s="2" t="n"/>
      <c r="S1066" s="2" t="n">
        <v>33.55866226738216</v>
      </c>
      <c r="T1066" s="2" t="n">
        <v>-7.713874314997878</v>
      </c>
      <c r="U1066" s="3" t="n"/>
      <c r="V1066" s="2" t="inlineStr"/>
      <c r="W1066" s="6" t="inlineStr">
        <is>
          <t>https://yakeey.com/fr-ma/achat/biens/PN000383</t>
        </is>
      </c>
    </row>
    <row r="1067">
      <c r="A1067" t="inlineStr">
        <is>
          <t>PN000387</t>
        </is>
      </c>
      <c r="B1067" t="inlineStr">
        <is>
          <t>PROGRAMME (FLAT)</t>
        </is>
      </c>
      <c r="C1067" t="inlineStr">
        <is>
          <t>Sidi Bernoussi</t>
        </is>
      </c>
      <c r="D1067" t="inlineStr">
        <is>
          <t>Casablanca</t>
        </is>
      </c>
      <c r="E1067" s="7" t="n">
        <v>780000</v>
      </c>
      <c r="F1067" s="8" t="n">
        <v>77</v>
      </c>
      <c r="G1067" s="8" t="n"/>
      <c r="H1067" s="8" t="n"/>
      <c r="I1067" s="9">
        <f>IFERROR(E1067/F1067,"")</f>
        <v/>
      </c>
      <c r="J1067" t="n">
        <v>2</v>
      </c>
      <c r="P1067" t="inlineStr">
        <is>
          <t>READY</t>
        </is>
      </c>
      <c r="S1067" t="n">
        <v>33.61792700143403</v>
      </c>
      <c r="T1067" t="n">
        <v>-7.494843274627415</v>
      </c>
      <c r="U1067" s="7" t="n"/>
      <c r="V1067" t="inlineStr"/>
      <c r="W1067" s="10" t="inlineStr">
        <is>
          <t>https://yakeey.com/fr-ma/achat/biens/PN000387</t>
        </is>
      </c>
    </row>
    <row r="1068">
      <c r="A1068" s="2" t="inlineStr">
        <is>
          <t>PN000390</t>
        </is>
      </c>
      <c r="B1068" s="2" t="inlineStr">
        <is>
          <t>PROGRAMME (FLAT)</t>
        </is>
      </c>
      <c r="C1068" s="2" t="inlineStr">
        <is>
          <t>Oulfa</t>
        </is>
      </c>
      <c r="D1068" s="2" t="inlineStr">
        <is>
          <t>Casablanca</t>
        </is>
      </c>
      <c r="E1068" s="3" t="n">
        <v>890000</v>
      </c>
      <c r="F1068" s="4" t="n">
        <v>81</v>
      </c>
      <c r="G1068" s="4" t="n"/>
      <c r="H1068" s="4" t="n"/>
      <c r="I1068" s="5">
        <f>IFERROR(E1068/F1068,"")</f>
        <v/>
      </c>
      <c r="J1068" s="2" t="n">
        <v>2</v>
      </c>
      <c r="K1068" s="2" t="n"/>
      <c r="L1068" s="2" t="n"/>
      <c r="M1068" s="2" t="n"/>
      <c r="N1068" s="2" t="n"/>
      <c r="O1068" s="2" t="n"/>
      <c r="P1068" s="2" t="inlineStr">
        <is>
          <t>READY</t>
        </is>
      </c>
      <c r="Q1068" s="2" t="n"/>
      <c r="R1068" s="2" t="n"/>
      <c r="S1068" s="2" t="n">
        <v>33.54298587974072</v>
      </c>
      <c r="T1068" s="2" t="n">
        <v>-7.706120774940852</v>
      </c>
      <c r="U1068" s="3" t="n"/>
      <c r="V1068" s="2" t="inlineStr"/>
      <c r="W1068" s="6" t="inlineStr">
        <is>
          <t>https://yakeey.com/fr-ma/achat/biens/PN000390</t>
        </is>
      </c>
    </row>
    <row r="1069">
      <c r="A1069" t="inlineStr">
        <is>
          <t>PN000392</t>
        </is>
      </c>
      <c r="B1069" t="inlineStr">
        <is>
          <t>PROGRAMME (FLAT)</t>
        </is>
      </c>
      <c r="C1069" t="inlineStr">
        <is>
          <t>Oulfa</t>
        </is>
      </c>
      <c r="D1069" t="inlineStr">
        <is>
          <t>Casablanca</t>
        </is>
      </c>
      <c r="E1069" s="7" t="n">
        <v>720000</v>
      </c>
      <c r="F1069" s="8" t="n">
        <v>73</v>
      </c>
      <c r="G1069" s="8" t="n"/>
      <c r="H1069" s="8" t="n"/>
      <c r="I1069" s="9">
        <f>IFERROR(E1069/F1069,"")</f>
        <v/>
      </c>
      <c r="J1069" t="n">
        <v>3</v>
      </c>
      <c r="P1069" t="inlineStr">
        <is>
          <t>READY</t>
        </is>
      </c>
      <c r="S1069" t="n">
        <v>33.5425743260206</v>
      </c>
      <c r="T1069" t="n">
        <v>-7.704641401083225</v>
      </c>
      <c r="U1069" s="7" t="n"/>
      <c r="V1069" t="inlineStr"/>
      <c r="W1069" s="10" t="inlineStr">
        <is>
          <t>https://yakeey.com/fr-ma/achat/biens/PN000392</t>
        </is>
      </c>
    </row>
    <row r="1070">
      <c r="A1070" s="2" t="inlineStr">
        <is>
          <t>PN000401</t>
        </is>
      </c>
      <c r="B1070" s="2" t="inlineStr">
        <is>
          <t>PROGRAMME (FLAT)</t>
        </is>
      </c>
      <c r="C1070" s="2" t="inlineStr">
        <is>
          <t>Maarif Extension</t>
        </is>
      </c>
      <c r="D1070" s="2" t="inlineStr">
        <is>
          <t>Casablanca</t>
        </is>
      </c>
      <c r="E1070" s="3" t="n">
        <v>1170000</v>
      </c>
      <c r="F1070" s="4" t="n">
        <v>54</v>
      </c>
      <c r="G1070" s="4" t="n"/>
      <c r="H1070" s="4" t="n"/>
      <c r="I1070" s="5">
        <f>IFERROR(E1070/F1070,"")</f>
        <v/>
      </c>
      <c r="J1070" s="2" t="n">
        <v>1</v>
      </c>
      <c r="K1070" s="2" t="n"/>
      <c r="L1070" s="2" t="n"/>
      <c r="M1070" s="2" t="n"/>
      <c r="N1070" s="2" t="n"/>
      <c r="O1070" s="2" t="n"/>
      <c r="P1070" s="2" t="inlineStr">
        <is>
          <t>READY</t>
        </is>
      </c>
      <c r="Q1070" s="2" t="n"/>
      <c r="R1070" s="2" t="n"/>
      <c r="S1070" s="2" t="n">
        <v>33.58103026322739</v>
      </c>
      <c r="T1070" s="2" t="n">
        <v>-7.641011462845123</v>
      </c>
      <c r="U1070" s="3" t="n"/>
      <c r="V1070" s="2" t="inlineStr"/>
      <c r="W1070" s="6" t="inlineStr">
        <is>
          <t>https://yakeey.com/fr-ma/achat/biens/PN000401</t>
        </is>
      </c>
    </row>
    <row r="1071">
      <c r="A1071" t="inlineStr">
        <is>
          <t>PN000402</t>
        </is>
      </c>
      <c r="B1071" t="inlineStr">
        <is>
          <t>PROGRAMME (FLAT)</t>
        </is>
      </c>
      <c r="C1071" t="inlineStr">
        <is>
          <t>Ferme Bretonne</t>
        </is>
      </c>
      <c r="D1071" t="inlineStr">
        <is>
          <t>Casablanca</t>
        </is>
      </c>
      <c r="E1071" s="7" t="n">
        <v>1954000</v>
      </c>
      <c r="F1071" s="8" t="n">
        <v>115</v>
      </c>
      <c r="G1071" s="8" t="n"/>
      <c r="H1071" s="8" t="n"/>
      <c r="I1071" s="9">
        <f>IFERROR(E1071/F1071,"")</f>
        <v/>
      </c>
      <c r="J1071" t="n">
        <v>2</v>
      </c>
      <c r="P1071" t="inlineStr">
        <is>
          <t>READY</t>
        </is>
      </c>
      <c r="S1071" t="n">
        <v>33.55319857391908</v>
      </c>
      <c r="T1071" t="n">
        <v>-7.644921382063873</v>
      </c>
      <c r="U1071" s="7" t="n"/>
      <c r="V1071" t="inlineStr"/>
      <c r="W1071" s="10" t="inlineStr">
        <is>
          <t>https://yakeey.com/fr-ma/achat/biens/PN000402</t>
        </is>
      </c>
    </row>
    <row r="1072">
      <c r="A1072" s="2" t="inlineStr">
        <is>
          <t>PN000404</t>
        </is>
      </c>
      <c r="B1072" s="2" t="inlineStr">
        <is>
          <t>PROGRAMME (FLAT)</t>
        </is>
      </c>
      <c r="C1072" s="2" t="inlineStr">
        <is>
          <t>Gauthier</t>
        </is>
      </c>
      <c r="D1072" s="2" t="inlineStr">
        <is>
          <t>Casablanca</t>
        </is>
      </c>
      <c r="E1072" s="3" t="n">
        <v>1500000</v>
      </c>
      <c r="F1072" s="4" t="n">
        <v>51</v>
      </c>
      <c r="G1072" s="4" t="n"/>
      <c r="H1072" s="4" t="n"/>
      <c r="I1072" s="5">
        <f>IFERROR(E1072/F1072,"")</f>
        <v/>
      </c>
      <c r="J1072" s="2" t="n">
        <v>1</v>
      </c>
      <c r="K1072" s="2" t="n"/>
      <c r="L1072" s="2" t="n"/>
      <c r="M1072" s="2" t="n"/>
      <c r="N1072" s="2" t="n"/>
      <c r="O1072" s="2" t="n"/>
      <c r="P1072" s="2" t="inlineStr">
        <is>
          <t>READY</t>
        </is>
      </c>
      <c r="Q1072" s="2" t="n"/>
      <c r="R1072" s="2" t="n"/>
      <c r="S1072" s="2" t="n">
        <v>33.59115478512899</v>
      </c>
      <c r="T1072" s="2" t="n">
        <v>-7.635050522253795</v>
      </c>
      <c r="U1072" s="3" t="n"/>
      <c r="V1072" s="2" t="inlineStr"/>
      <c r="W1072" s="6" t="inlineStr">
        <is>
          <t>https://yakeey.com/fr-ma/achat/biens/PN000404</t>
        </is>
      </c>
    </row>
    <row r="1073">
      <c r="A1073" t="inlineStr">
        <is>
          <t>PN000406</t>
        </is>
      </c>
      <c r="B1073" t="inlineStr">
        <is>
          <t>PROGRAMME (FLAT)</t>
        </is>
      </c>
      <c r="C1073" t="inlineStr">
        <is>
          <t>Beausejour</t>
        </is>
      </c>
      <c r="D1073" t="inlineStr">
        <is>
          <t>Casablanca</t>
        </is>
      </c>
      <c r="E1073" s="7" t="n">
        <v>1260000</v>
      </c>
      <c r="F1073" s="8" t="n">
        <v>43</v>
      </c>
      <c r="G1073" s="8" t="n"/>
      <c r="H1073" s="8" t="n"/>
      <c r="I1073" s="9">
        <f>IFERROR(E1073/F1073,"")</f>
        <v/>
      </c>
      <c r="J1073" t="n">
        <v>1</v>
      </c>
      <c r="P1073" t="inlineStr">
        <is>
          <t>READY</t>
        </is>
      </c>
      <c r="S1073" t="n">
        <v>33.56693953553942</v>
      </c>
      <c r="T1073" t="n">
        <v>-7.65462132305111</v>
      </c>
      <c r="U1073" s="7" t="n"/>
      <c r="V1073" t="inlineStr"/>
      <c r="W1073" s="10" t="inlineStr">
        <is>
          <t>https://yakeey.com/fr-ma/achat/biens/PN000406</t>
        </is>
      </c>
    </row>
    <row r="1074">
      <c r="A1074" s="2" t="inlineStr">
        <is>
          <t>PN000408</t>
        </is>
      </c>
      <c r="B1074" s="2" t="inlineStr">
        <is>
          <t>PROGRAMME (FLAT)</t>
        </is>
      </c>
      <c r="C1074" s="2" t="inlineStr">
        <is>
          <t>Oasis</t>
        </is>
      </c>
      <c r="D1074" s="2" t="inlineStr">
        <is>
          <t>Casablanca</t>
        </is>
      </c>
      <c r="E1074" s="3" t="n">
        <v>953000</v>
      </c>
      <c r="F1074" s="4" t="n">
        <v>39</v>
      </c>
      <c r="G1074" s="4" t="n"/>
      <c r="H1074" s="4" t="n"/>
      <c r="I1074" s="5">
        <f>IFERROR(E1074/F1074,"")</f>
        <v/>
      </c>
      <c r="J1074" s="2" t="n">
        <v>1</v>
      </c>
      <c r="K1074" s="2" t="n"/>
      <c r="L1074" s="2" t="n"/>
      <c r="M1074" s="2" t="n"/>
      <c r="N1074" s="2" t="n"/>
      <c r="O1074" s="2" t="n"/>
      <c r="P1074" s="2" t="inlineStr">
        <is>
          <t>READY</t>
        </is>
      </c>
      <c r="Q1074" s="2" t="n"/>
      <c r="R1074" s="2" t="n"/>
      <c r="S1074" s="2" t="n">
        <v>33.56867818030364</v>
      </c>
      <c r="T1074" s="2" t="n">
        <v>-7.640745216234411</v>
      </c>
      <c r="U1074" s="3" t="n"/>
      <c r="V1074" s="2" t="inlineStr"/>
      <c r="W1074" s="6" t="inlineStr">
        <is>
          <t>https://yakeey.com/fr-ma/achat/biens/PN000408</t>
        </is>
      </c>
    </row>
    <row r="1075">
      <c r="A1075" t="inlineStr">
        <is>
          <t>PN000410</t>
        </is>
      </c>
      <c r="B1075" t="inlineStr">
        <is>
          <t>PROGRAMME (FLAT)</t>
        </is>
      </c>
      <c r="C1075" t="inlineStr">
        <is>
          <t>Ain Sebaa</t>
        </is>
      </c>
      <c r="D1075" t="inlineStr">
        <is>
          <t>Casablanca</t>
        </is>
      </c>
      <c r="E1075" s="7" t="n">
        <v>852000</v>
      </c>
      <c r="F1075" s="8" t="n">
        <v>61</v>
      </c>
      <c r="G1075" s="8" t="n"/>
      <c r="H1075" s="8" t="n"/>
      <c r="I1075" s="9">
        <f>IFERROR(E1075/F1075,"")</f>
        <v/>
      </c>
      <c r="J1075" t="n">
        <v>2</v>
      </c>
      <c r="P1075" t="inlineStr">
        <is>
          <t>READY</t>
        </is>
      </c>
      <c r="S1075" t="n">
        <v>33.6058835991025</v>
      </c>
      <c r="T1075" t="n">
        <v>-7.542825283750068</v>
      </c>
      <c r="U1075" s="7" t="n"/>
      <c r="V1075" t="inlineStr"/>
      <c r="W1075" s="10" t="inlineStr">
        <is>
          <t>https://yakeey.com/fr-ma/achat/biens/PN000410</t>
        </is>
      </c>
    </row>
    <row r="1076">
      <c r="A1076" s="2" t="inlineStr">
        <is>
          <t>PN000417</t>
        </is>
      </c>
      <c r="B1076" s="2" t="inlineStr">
        <is>
          <t>PROGRAMME (FLAT)</t>
        </is>
      </c>
      <c r="C1076" s="2" t="inlineStr">
        <is>
          <t>Oasis</t>
        </is>
      </c>
      <c r="D1076" s="2" t="inlineStr">
        <is>
          <t>Casablanca</t>
        </is>
      </c>
      <c r="E1076" s="3" t="n">
        <v>995000</v>
      </c>
      <c r="F1076" s="4" t="n">
        <v>37</v>
      </c>
      <c r="G1076" s="4" t="n"/>
      <c r="H1076" s="4" t="n"/>
      <c r="I1076" s="5">
        <f>IFERROR(E1076/F1076,"")</f>
        <v/>
      </c>
      <c r="J1076" s="2" t="n">
        <v>1</v>
      </c>
      <c r="K1076" s="2" t="n"/>
      <c r="L1076" s="2" t="n"/>
      <c r="M1076" s="2" t="n"/>
      <c r="N1076" s="2" t="n"/>
      <c r="O1076" s="2" t="n"/>
      <c r="P1076" s="2" t="inlineStr">
        <is>
          <t>IN_CONSTRUCTION</t>
        </is>
      </c>
      <c r="Q1076" s="2" t="n"/>
      <c r="R1076" s="2" t="n"/>
      <c r="S1076" s="2" t="n">
        <v>33.56883521399527</v>
      </c>
      <c r="T1076" s="2" t="n">
        <v>-7.637635031348536</v>
      </c>
      <c r="U1076" s="3" t="n"/>
      <c r="V1076" s="2" t="inlineStr"/>
      <c r="W1076" s="6" t="inlineStr">
        <is>
          <t>https://yakeey.com/fr-ma/achat/biens/PN000417</t>
        </is>
      </c>
    </row>
    <row r="1077">
      <c r="A1077" t="inlineStr">
        <is>
          <t>PN000419</t>
        </is>
      </c>
      <c r="B1077" t="inlineStr">
        <is>
          <t>PROGRAMME (FLAT)</t>
        </is>
      </c>
      <c r="C1077" t="inlineStr">
        <is>
          <t>Derb Omar</t>
        </is>
      </c>
      <c r="D1077" t="inlineStr">
        <is>
          <t>Casablanca</t>
        </is>
      </c>
      <c r="E1077" s="7" t="n">
        <v>800000</v>
      </c>
      <c r="F1077" s="8" t="n">
        <v>52</v>
      </c>
      <c r="G1077" s="8" t="n"/>
      <c r="H1077" s="8" t="n"/>
      <c r="I1077" s="9">
        <f>IFERROR(E1077/F1077,"")</f>
        <v/>
      </c>
      <c r="J1077" t="n">
        <v>1</v>
      </c>
      <c r="P1077" t="inlineStr">
        <is>
          <t>READY</t>
        </is>
      </c>
      <c r="S1077" t="n">
        <v>33.59317802895935</v>
      </c>
      <c r="T1077" t="n">
        <v>-7.608969785517942</v>
      </c>
      <c r="U1077" s="7" t="n"/>
      <c r="V1077" t="inlineStr"/>
      <c r="W1077" s="10" t="inlineStr">
        <is>
          <t>https://yakeey.com/fr-ma/achat/biens/PN000419</t>
        </is>
      </c>
    </row>
    <row r="1078">
      <c r="A1078" s="2" t="inlineStr">
        <is>
          <t>PN000421</t>
        </is>
      </c>
      <c r="B1078" s="2" t="inlineStr">
        <is>
          <t>PROGRAMME (FLAT)</t>
        </is>
      </c>
      <c r="C1078" s="2" t="inlineStr">
        <is>
          <t>Les Princesses</t>
        </is>
      </c>
      <c r="D1078" s="2" t="inlineStr">
        <is>
          <t>Casablanca</t>
        </is>
      </c>
      <c r="E1078" s="3" t="n">
        <v>2158000</v>
      </c>
      <c r="F1078" s="4" t="n">
        <v>79</v>
      </c>
      <c r="G1078" s="4" t="n"/>
      <c r="H1078" s="4" t="n"/>
      <c r="I1078" s="5">
        <f>IFERROR(E1078/F1078,"")</f>
        <v/>
      </c>
      <c r="J1078" s="2" t="n">
        <v>2</v>
      </c>
      <c r="K1078" s="2" t="n"/>
      <c r="L1078" s="2" t="n"/>
      <c r="M1078" s="2" t="n"/>
      <c r="N1078" s="2" t="n"/>
      <c r="O1078" s="2" t="n"/>
      <c r="P1078" s="2" t="inlineStr">
        <is>
          <t>READY</t>
        </is>
      </c>
      <c r="Q1078" s="2" t="n"/>
      <c r="R1078" s="2" t="n"/>
      <c r="S1078" s="2" t="n">
        <v>33.57894177531929</v>
      </c>
      <c r="T1078" s="2" t="n">
        <v>-7.647825847870651</v>
      </c>
      <c r="U1078" s="3" t="n"/>
      <c r="V1078" s="2" t="inlineStr"/>
      <c r="W1078" s="6" t="inlineStr">
        <is>
          <t>https://yakeey.com/fr-ma/achat/biens/PN000421</t>
        </is>
      </c>
    </row>
    <row r="1079">
      <c r="A1079" t="inlineStr">
        <is>
          <t>PN000368</t>
        </is>
      </c>
      <c r="B1079" t="inlineStr">
        <is>
          <t>PROGRAMME (OFFICE)</t>
        </is>
      </c>
      <c r="C1079" t="inlineStr">
        <is>
          <t>Bourgogne (Anfa)</t>
        </is>
      </c>
      <c r="D1079" t="inlineStr">
        <is>
          <t>Casablanca</t>
        </is>
      </c>
      <c r="E1079" s="7" t="n">
        <v>1504000</v>
      </c>
      <c r="F1079" s="8" t="n">
        <v>62</v>
      </c>
      <c r="G1079" s="8" t="n"/>
      <c r="H1079" s="8" t="n"/>
      <c r="I1079" s="9">
        <f>IFERROR(E1079/F1079,"")</f>
        <v/>
      </c>
      <c r="J1079" t="n">
        <v>0</v>
      </c>
      <c r="P1079" t="inlineStr">
        <is>
          <t>READY</t>
        </is>
      </c>
      <c r="S1079" t="n">
        <v>33.60322280415372</v>
      </c>
      <c r="T1079" t="n">
        <v>-7.641694196454099</v>
      </c>
      <c r="U1079" s="7" t="n"/>
      <c r="V1079" t="inlineStr"/>
      <c r="W1079" s="10" t="inlineStr">
        <is>
          <t>https://yakeey.com/fr-ma/achat/biens/PN000368</t>
        </is>
      </c>
    </row>
    <row r="1080">
      <c r="A1080" s="2" t="inlineStr">
        <is>
          <t>PN000395</t>
        </is>
      </c>
      <c r="B1080" s="2" t="inlineStr">
        <is>
          <t>PROGRAMME (OFFICE)</t>
        </is>
      </c>
      <c r="C1080" s="2" t="inlineStr">
        <is>
          <t>Ferme Bretonne</t>
        </is>
      </c>
      <c r="D1080" s="2" t="inlineStr">
        <is>
          <t>Casablanca</t>
        </is>
      </c>
      <c r="E1080" s="3" t="n">
        <v>1250000</v>
      </c>
      <c r="F1080" s="4" t="n">
        <v>51</v>
      </c>
      <c r="G1080" s="4" t="n"/>
      <c r="H1080" s="4" t="n"/>
      <c r="I1080" s="5">
        <f>IFERROR(E1080/F1080,"")</f>
        <v/>
      </c>
      <c r="J1080" s="2" t="n">
        <v>1</v>
      </c>
      <c r="K1080" s="2" t="n"/>
      <c r="L1080" s="2" t="n"/>
      <c r="M1080" s="2" t="n"/>
      <c r="N1080" s="2" t="n"/>
      <c r="O1080" s="2" t="n"/>
      <c r="P1080" s="2" t="inlineStr">
        <is>
          <t>READY</t>
        </is>
      </c>
      <c r="Q1080" s="2" t="n"/>
      <c r="R1080" s="2" t="n"/>
      <c r="S1080" s="2" t="n">
        <v>33.56388701343887</v>
      </c>
      <c r="T1080" s="2" t="n">
        <v>-7.630650187874391</v>
      </c>
      <c r="U1080" s="3" t="n"/>
      <c r="V1080" s="2" t="inlineStr"/>
      <c r="W1080" s="6" t="inlineStr">
        <is>
          <t>https://yakeey.com/fr-ma/achat/biens/PN000395</t>
        </is>
      </c>
    </row>
    <row r="1081">
      <c r="A1081" t="inlineStr">
        <is>
          <t>PN000399</t>
        </is>
      </c>
      <c r="B1081" t="inlineStr">
        <is>
          <t>PROGRAMME (OFFICE)</t>
        </is>
      </c>
      <c r="C1081" t="inlineStr">
        <is>
          <t>Sidi Messaoud</t>
        </is>
      </c>
      <c r="D1081" t="inlineStr">
        <is>
          <t>Casablanca</t>
        </is>
      </c>
      <c r="E1081" s="7" t="n">
        <v>1190000</v>
      </c>
      <c r="F1081" s="8" t="n">
        <v>60</v>
      </c>
      <c r="G1081" s="8" t="n"/>
      <c r="H1081" s="8" t="n"/>
      <c r="I1081" s="9">
        <f>IFERROR(E1081/F1081,"")</f>
        <v/>
      </c>
      <c r="J1081" t="n">
        <v>0</v>
      </c>
      <c r="P1081" t="inlineStr">
        <is>
          <t>IN_CONSTRUCTION</t>
        </is>
      </c>
      <c r="S1081" t="n">
        <v>33.5247080661373</v>
      </c>
      <c r="T1081" t="n">
        <v>-7.594845019729799</v>
      </c>
      <c r="U1081" s="7" t="n"/>
      <c r="V1081" t="inlineStr"/>
      <c r="W1081" s="10" t="inlineStr">
        <is>
          <t>https://yakeey.com/fr-ma/achat/biens/PN000399</t>
        </is>
      </c>
    </row>
    <row r="1082">
      <c r="A1082" s="2" t="inlineStr">
        <is>
          <t>PN000422</t>
        </is>
      </c>
      <c r="B1082" s="2" t="inlineStr">
        <is>
          <t>PROGRAMME (OFFICE)</t>
        </is>
      </c>
      <c r="C1082" s="2" t="inlineStr">
        <is>
          <t>Sidi Maarouf</t>
        </is>
      </c>
      <c r="D1082" s="2" t="inlineStr">
        <is>
          <t>Casablanca</t>
        </is>
      </c>
      <c r="E1082" s="3" t="n">
        <v>1145000</v>
      </c>
      <c r="F1082" s="4" t="n">
        <v>73</v>
      </c>
      <c r="G1082" s="4" t="n"/>
      <c r="H1082" s="4" t="n"/>
      <c r="I1082" s="5">
        <f>IFERROR(E1082/F1082,"")</f>
        <v/>
      </c>
      <c r="J1082" s="2" t="n">
        <v>0</v>
      </c>
      <c r="K1082" s="2" t="n"/>
      <c r="L1082" s="2" t="n"/>
      <c r="M1082" s="2" t="n"/>
      <c r="N1082" s="2" t="n"/>
      <c r="O1082" s="2" t="n"/>
      <c r="P1082" s="2" t="inlineStr">
        <is>
          <t>READY</t>
        </is>
      </c>
      <c r="Q1082" s="2" t="n"/>
      <c r="R1082" s="2" t="n"/>
      <c r="S1082" s="2" t="n">
        <v>33.51928076907416</v>
      </c>
      <c r="T1082" s="2" t="n">
        <v>-7.637844586206247</v>
      </c>
      <c r="U1082" s="3" t="n"/>
      <c r="V1082" s="2" t="inlineStr"/>
      <c r="W1082" s="6" t="inlineStr">
        <is>
          <t>https://yakeey.com/fr-ma/achat/biens/PN000422</t>
        </is>
      </c>
    </row>
    <row r="1083">
      <c r="A1083" t="inlineStr">
        <is>
          <t>PN000333</t>
        </is>
      </c>
      <c r="B1083" t="inlineStr">
        <is>
          <t>PROGRAMME (TERRAIN)</t>
        </is>
      </c>
      <c r="C1083" t="inlineStr">
        <is>
          <t>Sidi Abderrahman Extension</t>
        </is>
      </c>
      <c r="D1083" t="inlineStr">
        <is>
          <t>Casablanca</t>
        </is>
      </c>
      <c r="E1083" s="7" t="n">
        <v>9650000</v>
      </c>
      <c r="F1083" s="8" t="n">
        <v>682</v>
      </c>
      <c r="G1083" s="8" t="n"/>
      <c r="H1083" s="8" t="n"/>
      <c r="I1083" s="9">
        <f>IFERROR(E1083/F1083,"")</f>
        <v/>
      </c>
      <c r="J1083" t="n">
        <v>0</v>
      </c>
      <c r="P1083" t="inlineStr">
        <is>
          <t>READY</t>
        </is>
      </c>
      <c r="S1083" t="n">
        <v>33.56498101576135</v>
      </c>
      <c r="T1083" t="n">
        <v>-7.718466991768017</v>
      </c>
      <c r="U1083" s="7" t="n"/>
      <c r="V1083" t="inlineStr"/>
      <c r="W1083" s="10" t="inlineStr">
        <is>
          <t>https://yakeey.com/fr-ma/achat/biens/PN000333</t>
        </is>
      </c>
    </row>
    <row r="1084">
      <c r="A1084" s="2" t="inlineStr">
        <is>
          <t>PN000335</t>
        </is>
      </c>
      <c r="B1084" s="2" t="inlineStr">
        <is>
          <t>PROGRAMME (VILLA)</t>
        </is>
      </c>
      <c r="C1084" s="2" t="inlineStr">
        <is>
          <t>Sidi Abderrahman Extension</t>
        </is>
      </c>
      <c r="D1084" s="2" t="inlineStr">
        <is>
          <t>Casablanca</t>
        </is>
      </c>
      <c r="E1084" s="3" t="n">
        <v>8150000</v>
      </c>
      <c r="F1084" s="4" t="n">
        <v>248</v>
      </c>
      <c r="G1084" s="4" t="n"/>
      <c r="H1084" s="4" t="n"/>
      <c r="I1084" s="5">
        <f>IFERROR(E1084/F1084,"")</f>
        <v/>
      </c>
      <c r="J1084" s="2" t="n">
        <v>4</v>
      </c>
      <c r="K1084" s="2" t="n"/>
      <c r="L1084" s="2" t="n"/>
      <c r="M1084" s="2" t="n"/>
      <c r="N1084" s="2" t="n"/>
      <c r="O1084" s="2" t="n"/>
      <c r="P1084" s="2" t="inlineStr">
        <is>
          <t>IN_CONSTRUCTION</t>
        </is>
      </c>
      <c r="Q1084" s="2" t="n"/>
      <c r="R1084" s="2" t="n"/>
      <c r="S1084" s="2" t="n">
        <v>33.56726435365118</v>
      </c>
      <c r="T1084" s="2" t="n">
        <v>-7.714052005990782</v>
      </c>
      <c r="U1084" s="3" t="n"/>
      <c r="V1084" s="2" t="inlineStr"/>
      <c r="W1084" s="6" t="inlineStr">
        <is>
          <t>https://yakeey.com/fr-ma/achat/biens/PN000335</t>
        </is>
      </c>
    </row>
    <row r="1085">
      <c r="A1085" t="inlineStr">
        <is>
          <t>PN000405</t>
        </is>
      </c>
      <c r="B1085" t="inlineStr">
        <is>
          <t>PROGRAMME (VILLA)</t>
        </is>
      </c>
      <c r="C1085" t="inlineStr">
        <is>
          <t>Ain Diab Extension 2</t>
        </is>
      </c>
      <c r="D1085" t="inlineStr">
        <is>
          <t>Casablanca</t>
        </is>
      </c>
      <c r="E1085" s="7" t="n">
        <v>4760000</v>
      </c>
      <c r="F1085" s="8" t="n">
        <v>208</v>
      </c>
      <c r="G1085" s="8" t="n"/>
      <c r="H1085" s="8" t="n"/>
      <c r="I1085" s="9">
        <f>IFERROR(E1085/F1085,"")</f>
        <v/>
      </c>
      <c r="J1085" t="n">
        <v>4</v>
      </c>
      <c r="P1085" t="inlineStr">
        <is>
          <t>READY</t>
        </is>
      </c>
      <c r="S1085" t="n">
        <v>33.55918307895543</v>
      </c>
      <c r="T1085" t="n">
        <v>-7.714411412345568</v>
      </c>
      <c r="U1085" s="7" t="n"/>
      <c r="V1085" t="inlineStr"/>
      <c r="W1085" s="10" t="inlineStr">
        <is>
          <t>https://yakeey.com/fr-ma/achat/biens/PN000405</t>
        </is>
      </c>
    </row>
    <row r="1086">
      <c r="A1086" s="2" t="inlineStr">
        <is>
          <t>126581</t>
        </is>
      </c>
      <c r="B1086" s="2" t="inlineStr">
        <is>
          <t>STRIPED_HOUSE</t>
        </is>
      </c>
      <c r="C1086" s="2" t="inlineStr">
        <is>
          <t>Sidi Maarouf</t>
        </is>
      </c>
      <c r="D1086" s="2" t="inlineStr">
        <is>
          <t>Casablanca</t>
        </is>
      </c>
      <c r="E1086" s="3" t="n">
        <v>3800000</v>
      </c>
      <c r="F1086" s="4" t="n">
        <v>120</v>
      </c>
      <c r="G1086" s="4" t="n"/>
      <c r="H1086" s="4" t="n"/>
      <c r="I1086" s="5">
        <f>IFERROR(E1086/F1086,"")</f>
        <v/>
      </c>
      <c r="J1086" s="2" t="n">
        <v>4</v>
      </c>
      <c r="K1086" s="2" t="n">
        <v>3</v>
      </c>
      <c r="L1086" s="2" t="n"/>
      <c r="M1086" s="2" t="n"/>
      <c r="N1086" s="2" t="n"/>
      <c r="O1086" s="2" t="n"/>
      <c r="P1086" s="2" t="inlineStr">
        <is>
          <t>LISTED</t>
        </is>
      </c>
      <c r="Q1086" s="2" t="n"/>
      <c r="R1086" s="2" t="n"/>
      <c r="S1086" s="2" t="n">
        <v>33.53009290940044</v>
      </c>
      <c r="T1086" s="2" t="n">
        <v>-7.650544721080955</v>
      </c>
      <c r="U1086" s="3" t="n">
        <v>21861</v>
      </c>
      <c r="V1086" s="2" t="inlineStr"/>
      <c r="W1086" s="6" t="inlineStr">
        <is>
          <t>https://yakeey.com/fr-ma/achat/biens/126581</t>
        </is>
      </c>
    </row>
    <row r="1087">
      <c r="A1087" t="inlineStr">
        <is>
          <t>135416</t>
        </is>
      </c>
      <c r="B1087" t="inlineStr">
        <is>
          <t>STRIPED_HOUSE</t>
        </is>
      </c>
      <c r="C1087" t="inlineStr">
        <is>
          <t>Laymoune</t>
        </is>
      </c>
      <c r="D1087" t="inlineStr">
        <is>
          <t>Casablanca</t>
        </is>
      </c>
      <c r="E1087" s="7" t="n">
        <v>3600000</v>
      </c>
      <c r="F1087" s="8" t="n">
        <v>78</v>
      </c>
      <c r="G1087" s="8" t="n"/>
      <c r="H1087" s="8" t="n"/>
      <c r="I1087" s="9">
        <f>IFERROR(E1087/F1087,"")</f>
        <v/>
      </c>
      <c r="J1087" t="n">
        <v>4</v>
      </c>
      <c r="K1087" t="n">
        <v>4</v>
      </c>
      <c r="P1087" t="inlineStr">
        <is>
          <t>LISTED</t>
        </is>
      </c>
      <c r="S1087" t="n">
        <v>33.54462789178505</v>
      </c>
      <c r="T1087" t="n">
        <v>-7.673162096435477</v>
      </c>
      <c r="U1087" s="7" t="n">
        <v>20711</v>
      </c>
      <c r="V1087" t="inlineStr"/>
      <c r="W1087" s="10" t="inlineStr">
        <is>
          <t>https://yakeey.com/fr-ma/achat/biens/135416</t>
        </is>
      </c>
    </row>
    <row r="1088">
      <c r="A1088" s="2" t="inlineStr">
        <is>
          <t>150661</t>
        </is>
      </c>
      <c r="B1088" s="2" t="inlineStr">
        <is>
          <t>STRIPED_HOUSE</t>
        </is>
      </c>
      <c r="C1088" s="2" t="inlineStr">
        <is>
          <t>Ain Chock</t>
        </is>
      </c>
      <c r="D1088" s="2" t="inlineStr">
        <is>
          <t>Casablanca</t>
        </is>
      </c>
      <c r="E1088" s="3" t="n">
        <v>2500000</v>
      </c>
      <c r="F1088" s="4" t="n">
        <v>100</v>
      </c>
      <c r="G1088" s="4" t="n"/>
      <c r="H1088" s="4" t="n"/>
      <c r="I1088" s="5">
        <f>IFERROR(E1088/F1088,"")</f>
        <v/>
      </c>
      <c r="J1088" s="2" t="n">
        <v>7</v>
      </c>
      <c r="K1088" s="2" t="n">
        <v>2</v>
      </c>
      <c r="L1088" s="2" t="n"/>
      <c r="M1088" s="2" t="n"/>
      <c r="N1088" s="2" t="n"/>
      <c r="O1088" s="2" t="n"/>
      <c r="P1088" s="2" t="inlineStr">
        <is>
          <t>LISTED</t>
        </is>
      </c>
      <c r="Q1088" s="2" t="n"/>
      <c r="R1088" s="2" t="n"/>
      <c r="S1088" s="2" t="n">
        <v>33.54259536644965</v>
      </c>
      <c r="T1088" s="2" t="n">
        <v>-7.58789695182517</v>
      </c>
      <c r="U1088" s="3" t="n">
        <v>14382</v>
      </c>
      <c r="V1088" s="2" t="inlineStr"/>
      <c r="W1088" s="6" t="inlineStr">
        <is>
          <t>https://yakeey.com/fr-ma/achat/biens/150661</t>
        </is>
      </c>
    </row>
    <row r="1089">
      <c r="A1089" t="inlineStr">
        <is>
          <t>171063</t>
        </is>
      </c>
      <c r="B1089" t="inlineStr">
        <is>
          <t>STRIPED_HOUSE</t>
        </is>
      </c>
      <c r="C1089" t="inlineStr">
        <is>
          <t>Fida</t>
        </is>
      </c>
      <c r="D1089" t="inlineStr">
        <is>
          <t>Casablanca</t>
        </is>
      </c>
      <c r="E1089" s="7" t="n">
        <v>1999998</v>
      </c>
      <c r="F1089" s="8" t="n">
        <v>71</v>
      </c>
      <c r="G1089" s="8" t="n"/>
      <c r="H1089" s="8" t="n"/>
      <c r="I1089" s="9">
        <f>IFERROR(E1089/F1089,"")</f>
        <v/>
      </c>
      <c r="J1089" t="n">
        <v>7</v>
      </c>
      <c r="K1089" t="n">
        <v>2</v>
      </c>
      <c r="P1089" t="inlineStr">
        <is>
          <t>LISTED</t>
        </is>
      </c>
      <c r="S1089" t="n">
        <v>33.56953320833645</v>
      </c>
      <c r="T1089" t="n">
        <v>-7.588244012193328</v>
      </c>
      <c r="U1089" s="7" t="n">
        <v>11506</v>
      </c>
      <c r="V1089" t="inlineStr"/>
      <c r="W1089" s="10" t="inlineStr">
        <is>
          <t>https://yakeey.com/fr-ma/achat/biens/171063</t>
        </is>
      </c>
    </row>
    <row r="1090">
      <c r="A1090" s="2" t="inlineStr">
        <is>
          <t>174593</t>
        </is>
      </c>
      <c r="B1090" s="2" t="inlineStr">
        <is>
          <t>STRIPED_HOUSE</t>
        </is>
      </c>
      <c r="C1090" s="2" t="inlineStr">
        <is>
          <t>Oulfa</t>
        </is>
      </c>
      <c r="D1090" s="2" t="inlineStr">
        <is>
          <t>Casablanca</t>
        </is>
      </c>
      <c r="E1090" s="3" t="n">
        <v>4600000</v>
      </c>
      <c r="F1090" s="4" t="n">
        <v>123</v>
      </c>
      <c r="G1090" s="4" t="n"/>
      <c r="H1090" s="4" t="n"/>
      <c r="I1090" s="5">
        <f>IFERROR(E1090/F1090,"")</f>
        <v/>
      </c>
      <c r="J1090" s="2" t="n">
        <v>8</v>
      </c>
      <c r="K1090" s="2" t="n">
        <v>7</v>
      </c>
      <c r="L1090" s="2" t="n"/>
      <c r="M1090" s="2" t="n"/>
      <c r="N1090" s="2" t="n"/>
      <c r="O1090" s="2" t="n"/>
      <c r="P1090" s="2" t="inlineStr">
        <is>
          <t>LISTED</t>
        </is>
      </c>
      <c r="Q1090" s="2" t="n"/>
      <c r="R1090" s="2" t="n"/>
      <c r="S1090" s="2" t="n">
        <v>33.5449227840558</v>
      </c>
      <c r="T1090" s="2" t="n">
        <v>-7.68117809795207</v>
      </c>
      <c r="U1090" s="3" t="n">
        <v>26464</v>
      </c>
      <c r="V1090" s="2" t="inlineStr"/>
      <c r="W1090" s="6" t="inlineStr">
        <is>
          <t>https://yakeey.com/fr-ma/achat/biens/174593</t>
        </is>
      </c>
    </row>
    <row r="1091">
      <c r="A1091" t="inlineStr">
        <is>
          <t>187860</t>
        </is>
      </c>
      <c r="B1091" t="inlineStr">
        <is>
          <t>STRIPED_HOUSE</t>
        </is>
      </c>
      <c r="C1091" t="inlineStr">
        <is>
          <t>Bourgogne (Anfa)</t>
        </is>
      </c>
      <c r="D1091" t="inlineStr">
        <is>
          <t>Casablanca</t>
        </is>
      </c>
      <c r="E1091" s="7" t="n">
        <v>3600000</v>
      </c>
      <c r="F1091" s="8" t="n">
        <v>72</v>
      </c>
      <c r="G1091" s="8" t="n"/>
      <c r="H1091" s="8" t="n"/>
      <c r="I1091" s="9">
        <f>IFERROR(E1091/F1091,"")</f>
        <v/>
      </c>
      <c r="J1091" t="n">
        <v>8</v>
      </c>
      <c r="K1091" t="n">
        <v>4</v>
      </c>
      <c r="P1091" t="inlineStr">
        <is>
          <t>PROCESSING</t>
        </is>
      </c>
      <c r="S1091" t="n">
        <v>33.60237888317901</v>
      </c>
      <c r="T1091" t="n">
        <v>-7.640383435890853</v>
      </c>
      <c r="U1091" s="7" t="n">
        <v>20711</v>
      </c>
      <c r="V1091" t="inlineStr"/>
      <c r="W1091" s="10" t="inlineStr">
        <is>
          <t>https://yakeey.com/fr-ma/achat/biens/187860</t>
        </is>
      </c>
    </row>
    <row r="1092">
      <c r="A1092" s="2" t="inlineStr">
        <is>
          <t>12319</t>
        </is>
      </c>
      <c r="B1092" s="2" t="inlineStr">
        <is>
          <t>STUDIO</t>
        </is>
      </c>
      <c r="C1092" s="2" t="inlineStr">
        <is>
          <t>Hopitaux</t>
        </is>
      </c>
      <c r="D1092" s="2" t="inlineStr">
        <is>
          <t>Casablanca</t>
        </is>
      </c>
      <c r="E1092" s="3" t="n">
        <v>850000</v>
      </c>
      <c r="F1092" s="4" t="n">
        <v>66</v>
      </c>
      <c r="G1092" s="4" t="n"/>
      <c r="H1092" s="4" t="n"/>
      <c r="I1092" s="5">
        <f>IFERROR(E1092/F1092,"")</f>
        <v/>
      </c>
      <c r="J1092" s="2" t="n">
        <v>1</v>
      </c>
      <c r="K1092" s="2" t="n">
        <v>1</v>
      </c>
      <c r="L1092" s="2" t="n"/>
      <c r="M1092" s="2" t="n"/>
      <c r="N1092" s="2" t="n"/>
      <c r="O1092" s="2" t="n"/>
      <c r="P1092" s="2" t="inlineStr">
        <is>
          <t>LISTED</t>
        </is>
      </c>
      <c r="Q1092" s="2" t="n"/>
      <c r="R1092" s="2" t="n"/>
      <c r="S1092" s="2" t="n">
        <v>33.57399400841622</v>
      </c>
      <c r="T1092" s="2" t="n">
        <v>-7.617175834441131</v>
      </c>
      <c r="U1092" s="3" t="n">
        <v>4890</v>
      </c>
      <c r="V1092" s="2" t="inlineStr"/>
      <c r="W1092" s="6" t="inlineStr">
        <is>
          <t>https://yakeey.com/fr-ma/achat/biens/12319</t>
        </is>
      </c>
    </row>
    <row r="1093">
      <c r="A1093" t="inlineStr">
        <is>
          <t>12320</t>
        </is>
      </c>
      <c r="B1093" t="inlineStr">
        <is>
          <t>STUDIO</t>
        </is>
      </c>
      <c r="C1093" t="inlineStr">
        <is>
          <t>Hopitaux</t>
        </is>
      </c>
      <c r="D1093" t="inlineStr">
        <is>
          <t>Casablanca</t>
        </is>
      </c>
      <c r="E1093" s="7" t="n">
        <v>850000</v>
      </c>
      <c r="F1093" s="8" t="n">
        <v>70</v>
      </c>
      <c r="G1093" s="8" t="n"/>
      <c r="H1093" s="8" t="n"/>
      <c r="I1093" s="9">
        <f>IFERROR(E1093/F1093,"")</f>
        <v/>
      </c>
      <c r="J1093" t="n">
        <v>1</v>
      </c>
      <c r="K1093" t="n">
        <v>1</v>
      </c>
      <c r="P1093" t="inlineStr">
        <is>
          <t>LISTED</t>
        </is>
      </c>
      <c r="S1093" t="n">
        <v>33.57397967958017</v>
      </c>
      <c r="T1093" t="n">
        <v>-7.615978671011788</v>
      </c>
      <c r="U1093" s="7" t="n">
        <v>4890</v>
      </c>
      <c r="V1093" t="inlineStr"/>
      <c r="W1093" s="10" t="inlineStr">
        <is>
          <t>https://yakeey.com/fr-ma/achat/biens/12320</t>
        </is>
      </c>
    </row>
    <row r="1094">
      <c r="A1094" s="2" t="inlineStr">
        <is>
          <t>125978</t>
        </is>
      </c>
      <c r="B1094" s="2" t="inlineStr">
        <is>
          <t>STUDIO</t>
        </is>
      </c>
      <c r="C1094" s="2" t="inlineStr">
        <is>
          <t>Casablanca Marina</t>
        </is>
      </c>
      <c r="D1094" s="2" t="inlineStr">
        <is>
          <t>Casablanca</t>
        </is>
      </c>
      <c r="E1094" s="3" t="n">
        <v>2500000</v>
      </c>
      <c r="F1094" s="4" t="n">
        <v>71</v>
      </c>
      <c r="G1094" s="4" t="n"/>
      <c r="H1094" s="4" t="n"/>
      <c r="I1094" s="5">
        <f>IFERROR(E1094/F1094,"")</f>
        <v/>
      </c>
      <c r="J1094" s="2" t="n">
        <v>1</v>
      </c>
      <c r="K1094" s="2" t="n">
        <v>1</v>
      </c>
      <c r="L1094" s="2" t="n"/>
      <c r="M1094" s="2" t="n"/>
      <c r="N1094" s="2" t="n"/>
      <c r="O1094" s="2" t="n"/>
      <c r="P1094" s="2" t="inlineStr">
        <is>
          <t>LISTED</t>
        </is>
      </c>
      <c r="Q1094" s="2" t="n"/>
      <c r="R1094" s="2" t="n"/>
      <c r="S1094" s="2" t="n">
        <v>33.608107593743</v>
      </c>
      <c r="T1094" s="2" t="n">
        <v>-7.621463052056319</v>
      </c>
      <c r="U1094" s="3" t="n">
        <v>14382</v>
      </c>
      <c r="V1094" s="2" t="inlineStr"/>
      <c r="W1094" s="6" t="inlineStr">
        <is>
          <t>https://yakeey.com/fr-ma/achat/biens/125978</t>
        </is>
      </c>
    </row>
    <row r="1095">
      <c r="A1095" t="inlineStr">
        <is>
          <t>126249</t>
        </is>
      </c>
      <c r="B1095" t="inlineStr">
        <is>
          <t>STUDIO</t>
        </is>
      </c>
      <c r="C1095" t="inlineStr">
        <is>
          <t>Sindibad</t>
        </is>
      </c>
      <c r="D1095" t="inlineStr">
        <is>
          <t>Casablanca</t>
        </is>
      </c>
      <c r="E1095" s="7" t="n">
        <v>1800000</v>
      </c>
      <c r="F1095" s="8" t="n">
        <v>64</v>
      </c>
      <c r="G1095" s="8" t="n"/>
      <c r="H1095" s="8" t="n"/>
      <c r="I1095" s="9">
        <f>IFERROR(E1095/F1095,"")</f>
        <v/>
      </c>
      <c r="J1095" t="n">
        <v>1</v>
      </c>
      <c r="K1095" t="n">
        <v>1</v>
      </c>
      <c r="P1095" t="inlineStr">
        <is>
          <t>LISTED</t>
        </is>
      </c>
      <c r="S1095" t="n">
        <v>33.58062634079733</v>
      </c>
      <c r="T1095" t="n">
        <v>-7.681610382052201</v>
      </c>
      <c r="U1095" s="7" t="n">
        <v>10355</v>
      </c>
      <c r="V1095" t="inlineStr"/>
      <c r="W1095" s="10" t="inlineStr">
        <is>
          <t>https://yakeey.com/fr-ma/achat/biens/126249</t>
        </is>
      </c>
    </row>
    <row r="1096">
      <c r="A1096" s="2" t="inlineStr">
        <is>
          <t>135257</t>
        </is>
      </c>
      <c r="B1096" s="2" t="inlineStr">
        <is>
          <t>STUDIO</t>
        </is>
      </c>
      <c r="C1096" s="2" t="inlineStr">
        <is>
          <t>Plateau</t>
        </is>
      </c>
      <c r="D1096" s="2" t="inlineStr">
        <is>
          <t>Casablanca</t>
        </is>
      </c>
      <c r="E1096" s="3" t="n">
        <v>1300000</v>
      </c>
      <c r="F1096" s="4" t="n">
        <v>66</v>
      </c>
      <c r="G1096" s="4" t="n"/>
      <c r="H1096" s="4" t="n"/>
      <c r="I1096" s="5">
        <f>IFERROR(E1096/F1096,"")</f>
        <v/>
      </c>
      <c r="J1096" s="2" t="n">
        <v>1</v>
      </c>
      <c r="K1096" s="2" t="n">
        <v>1</v>
      </c>
      <c r="L1096" s="2" t="n"/>
      <c r="M1096" s="2" t="n"/>
      <c r="N1096" s="2" t="n"/>
      <c r="O1096" s="2" t="n"/>
      <c r="P1096" s="2" t="inlineStr">
        <is>
          <t>LISTED</t>
        </is>
      </c>
      <c r="Q1096" s="2" t="n"/>
      <c r="R1096" s="2" t="n"/>
      <c r="S1096" s="2" t="n">
        <v>33.57446021152619</v>
      </c>
      <c r="T1096" s="2" t="n">
        <v>-7.637539032737394</v>
      </c>
      <c r="U1096" s="3" t="n">
        <v>7478</v>
      </c>
      <c r="V1096" s="2" t="inlineStr"/>
      <c r="W1096" s="6" t="inlineStr">
        <is>
          <t>https://yakeey.com/fr-ma/achat/biens/135257</t>
        </is>
      </c>
    </row>
    <row r="1097">
      <c r="A1097" t="inlineStr">
        <is>
          <t>15132</t>
        </is>
      </c>
      <c r="B1097" t="inlineStr">
        <is>
          <t>STUDIO</t>
        </is>
      </c>
      <c r="C1097" t="inlineStr">
        <is>
          <t>Belvedere (Roches Noires)</t>
        </is>
      </c>
      <c r="D1097" t="inlineStr">
        <is>
          <t>Casablanca</t>
        </is>
      </c>
      <c r="E1097" s="7" t="n">
        <v>750000</v>
      </c>
      <c r="F1097" s="8" t="n">
        <v>46</v>
      </c>
      <c r="G1097" s="8" t="n"/>
      <c r="H1097" s="8" t="n"/>
      <c r="I1097" s="9">
        <f>IFERROR(E1097/F1097,"")</f>
        <v/>
      </c>
      <c r="J1097" t="n">
        <v>1</v>
      </c>
      <c r="K1097" t="n">
        <v>1</v>
      </c>
      <c r="P1097" t="inlineStr">
        <is>
          <t>LISTED</t>
        </is>
      </c>
      <c r="S1097" t="n">
        <v>33.59335488296448</v>
      </c>
      <c r="T1097" t="n">
        <v>-7.593803071240205</v>
      </c>
      <c r="U1097" s="7" t="n">
        <v>4314</v>
      </c>
      <c r="V1097" t="inlineStr"/>
      <c r="W1097" s="10" t="inlineStr">
        <is>
          <t>https://yakeey.com/fr-ma/achat/biens/15132</t>
        </is>
      </c>
    </row>
    <row r="1098">
      <c r="A1098" s="2" t="inlineStr">
        <is>
          <t>152947</t>
        </is>
      </c>
      <c r="B1098" s="2" t="inlineStr">
        <is>
          <t>STUDIO</t>
        </is>
      </c>
      <c r="C1098" s="2" t="inlineStr">
        <is>
          <t>Maarif</t>
        </is>
      </c>
      <c r="D1098" s="2" t="inlineStr">
        <is>
          <t>Casablanca</t>
        </is>
      </c>
      <c r="E1098" s="3" t="n">
        <v>920000</v>
      </c>
      <c r="F1098" s="4" t="n">
        <v>53</v>
      </c>
      <c r="G1098" s="4" t="n"/>
      <c r="H1098" s="4" t="n"/>
      <c r="I1098" s="5">
        <f>IFERROR(E1098/F1098,"")</f>
        <v/>
      </c>
      <c r="J1098" s="2" t="n">
        <v>1</v>
      </c>
      <c r="K1098" s="2" t="n">
        <v>1</v>
      </c>
      <c r="L1098" s="2" t="n"/>
      <c r="M1098" s="2" t="n"/>
      <c r="N1098" s="2" t="n"/>
      <c r="O1098" s="2" t="n"/>
      <c r="P1098" s="2" t="inlineStr">
        <is>
          <t>SOLD_OUT</t>
        </is>
      </c>
      <c r="Q1098" s="2" t="n"/>
      <c r="R1098" s="2" t="n"/>
      <c r="S1098" s="2" t="n">
        <v>33.58298911839533</v>
      </c>
      <c r="T1098" s="2" t="n">
        <v>-7.634128445894945</v>
      </c>
      <c r="U1098" s="3" t="n">
        <v>5292</v>
      </c>
      <c r="V1098" s="2" t="inlineStr"/>
      <c r="W1098" s="6" t="inlineStr">
        <is>
          <t>https://yakeey.com/fr-ma/achat/biens/152947</t>
        </is>
      </c>
    </row>
    <row r="1099">
      <c r="A1099" t="inlineStr">
        <is>
          <t>153327</t>
        </is>
      </c>
      <c r="B1099" t="inlineStr">
        <is>
          <t>STUDIO</t>
        </is>
      </c>
      <c r="C1099" t="inlineStr">
        <is>
          <t>Bourgogne (Anfa)</t>
        </is>
      </c>
      <c r="D1099" t="inlineStr">
        <is>
          <t>Casablanca</t>
        </is>
      </c>
      <c r="E1099" s="7" t="n">
        <v>2150000</v>
      </c>
      <c r="F1099" s="8" t="n">
        <v>127</v>
      </c>
      <c r="G1099" s="8" t="n"/>
      <c r="H1099" s="8" t="n"/>
      <c r="I1099" s="9">
        <f>IFERROR(E1099/F1099,"")</f>
        <v/>
      </c>
      <c r="J1099" t="n">
        <v>1</v>
      </c>
      <c r="K1099" t="n">
        <v>2</v>
      </c>
      <c r="P1099" t="inlineStr">
        <is>
          <t>LISTED</t>
        </is>
      </c>
      <c r="S1099" t="n">
        <v>33.59255316468635</v>
      </c>
      <c r="T1099" t="n">
        <v>-7.642750914868221</v>
      </c>
      <c r="U1099" s="7" t="n">
        <v>12369</v>
      </c>
      <c r="V1099" t="inlineStr"/>
      <c r="W1099" s="10" t="inlineStr">
        <is>
          <t>https://yakeey.com/fr-ma/achat/biens/153327</t>
        </is>
      </c>
    </row>
    <row r="1100">
      <c r="A1100" s="2" t="inlineStr">
        <is>
          <t>155977</t>
        </is>
      </c>
      <c r="B1100" s="2" t="inlineStr">
        <is>
          <t>STUDIO</t>
        </is>
      </c>
      <c r="C1100" s="2" t="inlineStr">
        <is>
          <t>La Gironde</t>
        </is>
      </c>
      <c r="D1100" s="2" t="inlineStr">
        <is>
          <t>Casablanca</t>
        </is>
      </c>
      <c r="E1100" s="3" t="n">
        <v>590000</v>
      </c>
      <c r="F1100" s="4" t="n">
        <v>67</v>
      </c>
      <c r="G1100" s="4" t="n"/>
      <c r="H1100" s="4" t="n"/>
      <c r="I1100" s="5">
        <f>IFERROR(E1100/F1100,"")</f>
        <v/>
      </c>
      <c r="J1100" s="2" t="n">
        <v>1</v>
      </c>
      <c r="K1100" s="2" t="n">
        <v>1</v>
      </c>
      <c r="L1100" s="2" t="n"/>
      <c r="M1100" s="2" t="n"/>
      <c r="N1100" s="2" t="n"/>
      <c r="O1100" s="2" t="n"/>
      <c r="P1100" s="2" t="inlineStr">
        <is>
          <t>LISTED</t>
        </is>
      </c>
      <c r="Q1100" s="2" t="n"/>
      <c r="R1100" s="2" t="n"/>
      <c r="S1100" s="2" t="n">
        <v>33.5799802328165</v>
      </c>
      <c r="T1100" s="2" t="n">
        <v>-7.597786260612354</v>
      </c>
      <c r="U1100" s="3" t="n">
        <v>3394</v>
      </c>
      <c r="V1100" s="2" t="inlineStr"/>
      <c r="W1100" s="6" t="inlineStr">
        <is>
          <t>https://yakeey.com/fr-ma/achat/biens/155977</t>
        </is>
      </c>
    </row>
    <row r="1101">
      <c r="A1101" t="inlineStr">
        <is>
          <t>155978</t>
        </is>
      </c>
      <c r="B1101" t="inlineStr">
        <is>
          <t>STUDIO</t>
        </is>
      </c>
      <c r="C1101" t="inlineStr">
        <is>
          <t>La Gironde</t>
        </is>
      </c>
      <c r="D1101" t="inlineStr">
        <is>
          <t>Casablanca</t>
        </is>
      </c>
      <c r="E1101" s="7" t="n">
        <v>590000</v>
      </c>
      <c r="F1101" s="8" t="n">
        <v>74</v>
      </c>
      <c r="G1101" s="8" t="n"/>
      <c r="H1101" s="8" t="n"/>
      <c r="I1101" s="9">
        <f>IFERROR(E1101/F1101,"")</f>
        <v/>
      </c>
      <c r="J1101" t="n">
        <v>1</v>
      </c>
      <c r="K1101" t="n">
        <v>1</v>
      </c>
      <c r="P1101" t="inlineStr">
        <is>
          <t>LISTED</t>
        </is>
      </c>
      <c r="S1101" t="n">
        <v>33.58087262588577</v>
      </c>
      <c r="T1101" t="n">
        <v>-7.597080085763505</v>
      </c>
      <c r="U1101" s="7" t="n">
        <v>3394</v>
      </c>
      <c r="V1101" t="inlineStr"/>
      <c r="W1101" s="10" t="inlineStr">
        <is>
          <t>https://yakeey.com/fr-ma/achat/biens/155978</t>
        </is>
      </c>
    </row>
    <row r="1102">
      <c r="A1102" s="2" t="inlineStr">
        <is>
          <t>162494</t>
        </is>
      </c>
      <c r="B1102" s="2" t="inlineStr">
        <is>
          <t>STUDIO</t>
        </is>
      </c>
      <c r="C1102" s="2" t="inlineStr">
        <is>
          <t>Plateau</t>
        </is>
      </c>
      <c r="D1102" s="2" t="inlineStr">
        <is>
          <t>Casablanca</t>
        </is>
      </c>
      <c r="E1102" s="3" t="n">
        <v>1452000</v>
      </c>
      <c r="F1102" s="4" t="n">
        <v>59</v>
      </c>
      <c r="G1102" s="4" t="n"/>
      <c r="H1102" s="4" t="n"/>
      <c r="I1102" s="5">
        <f>IFERROR(E1102/F1102,"")</f>
        <v/>
      </c>
      <c r="J1102" s="2" t="n">
        <v>1</v>
      </c>
      <c r="K1102" s="2" t="n">
        <v>1</v>
      </c>
      <c r="L1102" s="2" t="n"/>
      <c r="M1102" s="2" t="n"/>
      <c r="N1102" s="2" t="n"/>
      <c r="O1102" s="2" t="n"/>
      <c r="P1102" s="2" t="inlineStr">
        <is>
          <t>LISTED</t>
        </is>
      </c>
      <c r="Q1102" s="2" t="n"/>
      <c r="R1102" s="2" t="n"/>
      <c r="S1102" s="2" t="n">
        <v>33.56875693734521</v>
      </c>
      <c r="T1102" s="2" t="n">
        <v>-7.64131566653158</v>
      </c>
      <c r="U1102" s="3" t="n">
        <v>8353</v>
      </c>
      <c r="V1102" s="2" t="inlineStr"/>
      <c r="W1102" s="6" t="inlineStr">
        <is>
          <t>https://yakeey.com/fr-ma/achat/biens/162494</t>
        </is>
      </c>
    </row>
    <row r="1103">
      <c r="A1103" t="inlineStr">
        <is>
          <t>163475</t>
        </is>
      </c>
      <c r="B1103" t="inlineStr">
        <is>
          <t>STUDIO</t>
        </is>
      </c>
      <c r="C1103" t="inlineStr">
        <is>
          <t>Ferme Bretonne</t>
        </is>
      </c>
      <c r="D1103" t="inlineStr">
        <is>
          <t>Casablanca</t>
        </is>
      </c>
      <c r="E1103" s="7" t="n">
        <v>1600000</v>
      </c>
      <c r="F1103" s="8" t="n">
        <v>56</v>
      </c>
      <c r="G1103" s="8" t="n"/>
      <c r="H1103" s="8" t="n"/>
      <c r="I1103" s="9">
        <f>IFERROR(E1103/F1103,"")</f>
        <v/>
      </c>
      <c r="J1103" t="n">
        <v>1</v>
      </c>
      <c r="K1103" t="n">
        <v>1</v>
      </c>
      <c r="P1103" t="inlineStr">
        <is>
          <t>LISTED</t>
        </is>
      </c>
      <c r="S1103" t="n">
        <v>33.56566486502054</v>
      </c>
      <c r="T1103" t="n">
        <v>-7.645525405417432</v>
      </c>
      <c r="U1103" s="7" t="n">
        <v>9204</v>
      </c>
      <c r="V1103" t="inlineStr"/>
      <c r="W1103" s="10" t="inlineStr">
        <is>
          <t>https://yakeey.com/fr-ma/achat/biens/163475</t>
        </is>
      </c>
    </row>
    <row r="1104">
      <c r="A1104" s="2" t="inlineStr">
        <is>
          <t>164404</t>
        </is>
      </c>
      <c r="B1104" s="2" t="inlineStr">
        <is>
          <t>STUDIO</t>
        </is>
      </c>
      <c r="C1104" s="2" t="inlineStr">
        <is>
          <t>Hopitaux</t>
        </is>
      </c>
      <c r="D1104" s="2" t="inlineStr">
        <is>
          <t>Casablanca</t>
        </is>
      </c>
      <c r="E1104" s="3" t="n">
        <v>1300000</v>
      </c>
      <c r="F1104" s="4" t="n">
        <v>105</v>
      </c>
      <c r="G1104" s="4" t="n"/>
      <c r="H1104" s="4" t="n"/>
      <c r="I1104" s="5">
        <f>IFERROR(E1104/F1104,"")</f>
        <v/>
      </c>
      <c r="J1104" s="2" t="n">
        <v>1</v>
      </c>
      <c r="K1104" s="2" t="n">
        <v>1</v>
      </c>
      <c r="L1104" s="2" t="n"/>
      <c r="M1104" s="2" t="n"/>
      <c r="N1104" s="2" t="n"/>
      <c r="O1104" s="2" t="n"/>
      <c r="P1104" s="2" t="inlineStr">
        <is>
          <t>LISTED</t>
        </is>
      </c>
      <c r="Q1104" s="2" t="n"/>
      <c r="R1104" s="2" t="n"/>
      <c r="S1104" s="2" t="n">
        <v>33.57554266971044</v>
      </c>
      <c r="T1104" s="2" t="n">
        <v>-7.615908974417383</v>
      </c>
      <c r="U1104" s="3" t="n">
        <v>7478</v>
      </c>
      <c r="V1104" s="2" t="inlineStr"/>
      <c r="W1104" s="6" t="inlineStr">
        <is>
          <t>https://yakeey.com/fr-ma/achat/biens/164404</t>
        </is>
      </c>
    </row>
    <row r="1105">
      <c r="A1105" t="inlineStr">
        <is>
          <t>165558</t>
        </is>
      </c>
      <c r="B1105" t="inlineStr">
        <is>
          <t>STUDIO</t>
        </is>
      </c>
      <c r="C1105" t="inlineStr">
        <is>
          <t>Oulfa</t>
        </is>
      </c>
      <c r="D1105" t="inlineStr">
        <is>
          <t>Casablanca</t>
        </is>
      </c>
      <c r="E1105" s="7" t="n">
        <v>320000</v>
      </c>
      <c r="F1105" s="8" t="n">
        <v>38</v>
      </c>
      <c r="G1105" s="8" t="n"/>
      <c r="H1105" s="8" t="n"/>
      <c r="I1105" s="9">
        <f>IFERROR(E1105/F1105,"")</f>
        <v/>
      </c>
      <c r="J1105" t="n">
        <v>1</v>
      </c>
      <c r="K1105" t="n">
        <v>1</v>
      </c>
      <c r="P1105" t="inlineStr">
        <is>
          <t>LISTED</t>
        </is>
      </c>
      <c r="S1105" t="n">
        <v>33.55178652137282</v>
      </c>
      <c r="T1105" t="n">
        <v>-7.693317457016619</v>
      </c>
      <c r="U1105" s="7" t="n">
        <v>1840</v>
      </c>
      <c r="V1105" t="inlineStr"/>
      <c r="W1105" s="10" t="inlineStr">
        <is>
          <t>https://yakeey.com/fr-ma/achat/biens/165558</t>
        </is>
      </c>
    </row>
    <row r="1106">
      <c r="A1106" s="2" t="inlineStr">
        <is>
          <t>168574</t>
        </is>
      </c>
      <c r="B1106" s="2" t="inlineStr">
        <is>
          <t>STUDIO</t>
        </is>
      </c>
      <c r="C1106" s="2" t="inlineStr">
        <is>
          <t>Oasis</t>
        </is>
      </c>
      <c r="D1106" s="2" t="inlineStr">
        <is>
          <t>Casablanca</t>
        </is>
      </c>
      <c r="E1106" s="3" t="n">
        <v>1070000</v>
      </c>
      <c r="F1106" s="4" t="n">
        <v>52</v>
      </c>
      <c r="G1106" s="4" t="n"/>
      <c r="H1106" s="4" t="n"/>
      <c r="I1106" s="5">
        <f>IFERROR(E1106/F1106,"")</f>
        <v/>
      </c>
      <c r="J1106" s="2" t="n">
        <v>1</v>
      </c>
      <c r="K1106" s="2" t="n">
        <v>1</v>
      </c>
      <c r="L1106" s="2" t="n"/>
      <c r="M1106" s="2" t="n"/>
      <c r="N1106" s="2" t="n"/>
      <c r="O1106" s="2" t="n"/>
      <c r="P1106" s="2" t="inlineStr">
        <is>
          <t>LISTED</t>
        </is>
      </c>
      <c r="Q1106" s="2" t="n"/>
      <c r="R1106" s="2" t="n"/>
      <c r="S1106" s="2" t="n">
        <v>33.56593025646896</v>
      </c>
      <c r="T1106" s="2" t="n">
        <v>-7.645142338909841</v>
      </c>
      <c r="U1106" s="3" t="n">
        <v>6155</v>
      </c>
      <c r="V1106" s="2" t="inlineStr"/>
      <c r="W1106" s="6" t="inlineStr">
        <is>
          <t>https://yakeey.com/fr-ma/achat/biens/168574</t>
        </is>
      </c>
    </row>
    <row r="1107">
      <c r="A1107" t="inlineStr">
        <is>
          <t>169238</t>
        </is>
      </c>
      <c r="B1107" t="inlineStr">
        <is>
          <t>STUDIO</t>
        </is>
      </c>
      <c r="C1107" t="inlineStr">
        <is>
          <t>Belvedere (Roches Noires)</t>
        </is>
      </c>
      <c r="D1107" t="inlineStr">
        <is>
          <t>Casablanca</t>
        </is>
      </c>
      <c r="E1107" s="7" t="n">
        <v>1200000</v>
      </c>
      <c r="F1107" s="8" t="n">
        <v>68</v>
      </c>
      <c r="G1107" s="8" t="n"/>
      <c r="H1107" s="8" t="n"/>
      <c r="I1107" s="9">
        <f>IFERROR(E1107/F1107,"")</f>
        <v/>
      </c>
      <c r="J1107" t="n">
        <v>2</v>
      </c>
      <c r="K1107" t="n">
        <v>1</v>
      </c>
      <c r="P1107" t="inlineStr">
        <is>
          <t>LISTED</t>
        </is>
      </c>
      <c r="S1107" t="n">
        <v>33.59361083200488</v>
      </c>
      <c r="T1107" t="n">
        <v>-7.598169702407699</v>
      </c>
      <c r="U1107" s="7" t="n">
        <v>6903</v>
      </c>
      <c r="V1107" t="inlineStr"/>
      <c r="W1107" s="10" t="inlineStr">
        <is>
          <t>https://yakeey.com/fr-ma/achat/biens/169238</t>
        </is>
      </c>
    </row>
    <row r="1108">
      <c r="A1108" s="2" t="inlineStr">
        <is>
          <t>170140</t>
        </is>
      </c>
      <c r="B1108" s="2" t="inlineStr">
        <is>
          <t>STUDIO</t>
        </is>
      </c>
      <c r="C1108" s="2" t="inlineStr">
        <is>
          <t>Oasis</t>
        </is>
      </c>
      <c r="D1108" s="2" t="inlineStr">
        <is>
          <t>Casablanca</t>
        </is>
      </c>
      <c r="E1108" s="3" t="n">
        <v>1200000</v>
      </c>
      <c r="F1108" s="4" t="n">
        <v>75</v>
      </c>
      <c r="G1108" s="4" t="n"/>
      <c r="H1108" s="4" t="n"/>
      <c r="I1108" s="5">
        <f>IFERROR(E1108/F1108,"")</f>
        <v/>
      </c>
      <c r="J1108" s="2" t="n">
        <v>1</v>
      </c>
      <c r="K1108" s="2" t="n">
        <v>1</v>
      </c>
      <c r="L1108" s="2" t="n"/>
      <c r="M1108" s="2" t="n"/>
      <c r="N1108" s="2" t="n"/>
      <c r="O1108" s="2" t="n"/>
      <c r="P1108" s="2" t="inlineStr">
        <is>
          <t>LISTED</t>
        </is>
      </c>
      <c r="Q1108" s="2" t="n"/>
      <c r="R1108" s="2" t="n"/>
      <c r="S1108" s="2" t="n">
        <v>33.56800600913659</v>
      </c>
      <c r="T1108" s="2" t="n">
        <v>-7.630457428890976</v>
      </c>
      <c r="U1108" s="3" t="n">
        <v>6903</v>
      </c>
      <c r="V1108" s="2" t="inlineStr"/>
      <c r="W1108" s="6" t="inlineStr">
        <is>
          <t>https://yakeey.com/fr-ma/achat/biens/170140</t>
        </is>
      </c>
    </row>
    <row r="1109">
      <c r="A1109" t="inlineStr">
        <is>
          <t>173733</t>
        </is>
      </c>
      <c r="B1109" t="inlineStr">
        <is>
          <t>STUDIO</t>
        </is>
      </c>
      <c r="C1109" t="inlineStr">
        <is>
          <t>Oasis</t>
        </is>
      </c>
      <c r="D1109" t="inlineStr">
        <is>
          <t>Casablanca</t>
        </is>
      </c>
      <c r="E1109" s="7" t="n">
        <v>1190000</v>
      </c>
      <c r="F1109" s="8" t="n">
        <v>65</v>
      </c>
      <c r="G1109" s="8" t="n"/>
      <c r="H1109" s="8" t="n"/>
      <c r="I1109" s="9">
        <f>IFERROR(E1109/F1109,"")</f>
        <v/>
      </c>
      <c r="J1109" t="n">
        <v>1</v>
      </c>
      <c r="K1109" t="n">
        <v>1</v>
      </c>
      <c r="P1109" t="inlineStr">
        <is>
          <t>LISTED</t>
        </is>
      </c>
      <c r="S1109" t="n">
        <v>33.56240578827936</v>
      </c>
      <c r="T1109" t="n">
        <v>-7.629686692556827</v>
      </c>
      <c r="U1109" s="7" t="n">
        <v>6846</v>
      </c>
      <c r="V1109" t="inlineStr"/>
      <c r="W1109" s="10" t="inlineStr">
        <is>
          <t>https://yakeey.com/fr-ma/achat/biens/173733</t>
        </is>
      </c>
    </row>
    <row r="1110">
      <c r="A1110" s="2" t="inlineStr">
        <is>
          <t>175603</t>
        </is>
      </c>
      <c r="B1110" s="2" t="inlineStr">
        <is>
          <t>STUDIO</t>
        </is>
      </c>
      <c r="C1110" s="2" t="inlineStr">
        <is>
          <t>Maarif Extension</t>
        </is>
      </c>
      <c r="D1110" s="2" t="inlineStr">
        <is>
          <t>Casablanca</t>
        </is>
      </c>
      <c r="E1110" s="3" t="n">
        <v>1300000</v>
      </c>
      <c r="F1110" s="4" t="n">
        <v>75</v>
      </c>
      <c r="G1110" s="4" t="n"/>
      <c r="H1110" s="4" t="n"/>
      <c r="I1110" s="5">
        <f>IFERROR(E1110/F1110,"")</f>
        <v/>
      </c>
      <c r="J1110" s="2" t="n">
        <v>1</v>
      </c>
      <c r="K1110" s="2" t="n">
        <v>1</v>
      </c>
      <c r="L1110" s="2" t="n"/>
      <c r="M1110" s="2" t="n"/>
      <c r="N1110" s="2" t="n"/>
      <c r="O1110" s="2" t="n"/>
      <c r="P1110" s="2" t="inlineStr">
        <is>
          <t>LISTED</t>
        </is>
      </c>
      <c r="Q1110" s="2" t="n"/>
      <c r="R1110" s="2" t="n"/>
      <c r="S1110" s="2" t="n">
        <v>33.57765229337544</v>
      </c>
      <c r="T1110" s="2" t="n">
        <v>-7.643169611436861</v>
      </c>
      <c r="U1110" s="3" t="n">
        <v>7478</v>
      </c>
      <c r="V1110" s="2" t="inlineStr"/>
      <c r="W1110" s="6" t="inlineStr">
        <is>
          <t>https://yakeey.com/fr-ma/achat/biens/175603</t>
        </is>
      </c>
    </row>
    <row r="1111">
      <c r="A1111" t="inlineStr">
        <is>
          <t>175611</t>
        </is>
      </c>
      <c r="B1111" t="inlineStr">
        <is>
          <t>STUDIO</t>
        </is>
      </c>
      <c r="C1111" t="inlineStr">
        <is>
          <t>Maarif Extension</t>
        </is>
      </c>
      <c r="D1111" t="inlineStr">
        <is>
          <t>Casablanca</t>
        </is>
      </c>
      <c r="E1111" s="7" t="n">
        <v>1250000</v>
      </c>
      <c r="F1111" s="8" t="n">
        <v>71</v>
      </c>
      <c r="G1111" s="8" t="n"/>
      <c r="H1111" s="8" t="n"/>
      <c r="I1111" s="9">
        <f>IFERROR(E1111/F1111,"")</f>
        <v/>
      </c>
      <c r="J1111" t="n">
        <v>1</v>
      </c>
      <c r="K1111" t="n">
        <v>1</v>
      </c>
      <c r="P1111" t="inlineStr">
        <is>
          <t>LISTED</t>
        </is>
      </c>
      <c r="S1111" t="n">
        <v>33.57963010735576</v>
      </c>
      <c r="T1111" t="n">
        <v>-7.643703238773773</v>
      </c>
      <c r="U1111" s="7" t="n">
        <v>7191</v>
      </c>
      <c r="V1111" t="inlineStr"/>
      <c r="W1111" s="10" t="inlineStr">
        <is>
          <t>https://yakeey.com/fr-ma/achat/biens/175611</t>
        </is>
      </c>
    </row>
    <row r="1112">
      <c r="A1112" s="2" t="inlineStr">
        <is>
          <t>178449</t>
        </is>
      </c>
      <c r="B1112" s="2" t="inlineStr">
        <is>
          <t>STUDIO</t>
        </is>
      </c>
      <c r="C1112" s="2" t="inlineStr">
        <is>
          <t>Ferme Bretonne</t>
        </is>
      </c>
      <c r="D1112" s="2" t="inlineStr">
        <is>
          <t>Casablanca</t>
        </is>
      </c>
      <c r="E1112" s="3" t="n">
        <v>1400000</v>
      </c>
      <c r="F1112" s="4" t="n">
        <v>69</v>
      </c>
      <c r="G1112" s="4" t="n"/>
      <c r="H1112" s="4" t="n"/>
      <c r="I1112" s="5">
        <f>IFERROR(E1112/F1112,"")</f>
        <v/>
      </c>
      <c r="J1112" s="2" t="n">
        <v>1</v>
      </c>
      <c r="K1112" s="2" t="n">
        <v>1</v>
      </c>
      <c r="L1112" s="2" t="n"/>
      <c r="M1112" s="2" t="n"/>
      <c r="N1112" s="2" t="n"/>
      <c r="O1112" s="2" t="n"/>
      <c r="P1112" s="2" t="inlineStr">
        <is>
          <t>LISTED</t>
        </is>
      </c>
      <c r="Q1112" s="2" t="n"/>
      <c r="R1112" s="2" t="n"/>
      <c r="S1112" s="2" t="n">
        <v>33.56334584597725</v>
      </c>
      <c r="T1112" s="2" t="n">
        <v>-7.646588106415125</v>
      </c>
      <c r="U1112" s="3" t="n">
        <v>8054</v>
      </c>
      <c r="V1112" s="2" t="inlineStr"/>
      <c r="W1112" s="6" t="inlineStr">
        <is>
          <t>https://yakeey.com/fr-ma/achat/biens/178449</t>
        </is>
      </c>
    </row>
    <row r="1113">
      <c r="A1113" t="inlineStr">
        <is>
          <t>179606</t>
        </is>
      </c>
      <c r="B1113" t="inlineStr">
        <is>
          <t>STUDIO</t>
        </is>
      </c>
      <c r="C1113" t="inlineStr">
        <is>
          <t>Val Fleuri</t>
        </is>
      </c>
      <c r="D1113" t="inlineStr">
        <is>
          <t>Casablanca</t>
        </is>
      </c>
      <c r="E1113" s="7" t="n">
        <v>1650000</v>
      </c>
      <c r="F1113" s="8" t="n">
        <v>110</v>
      </c>
      <c r="G1113" s="8" t="n"/>
      <c r="H1113" s="8" t="n"/>
      <c r="I1113" s="9">
        <f>IFERROR(E1113/F1113,"")</f>
        <v/>
      </c>
      <c r="J1113" t="n">
        <v>1</v>
      </c>
      <c r="K1113" t="n">
        <v>1</v>
      </c>
      <c r="P1113" t="inlineStr">
        <is>
          <t>LISTED</t>
        </is>
      </c>
      <c r="S1113" t="n">
        <v>33.56943392228251</v>
      </c>
      <c r="T1113" t="n">
        <v>-7.641784198962591</v>
      </c>
      <c r="U1113" s="7" t="n">
        <v>9492</v>
      </c>
      <c r="V1113" t="inlineStr"/>
      <c r="W1113" s="10" t="inlineStr">
        <is>
          <t>https://yakeey.com/fr-ma/achat/biens/179606</t>
        </is>
      </c>
    </row>
    <row r="1114">
      <c r="A1114" s="2" t="inlineStr">
        <is>
          <t>179608</t>
        </is>
      </c>
      <c r="B1114" s="2" t="inlineStr">
        <is>
          <t>STUDIO</t>
        </is>
      </c>
      <c r="C1114" s="2" t="inlineStr">
        <is>
          <t>Val Fleuri</t>
        </is>
      </c>
      <c r="D1114" s="2" t="inlineStr">
        <is>
          <t>Casablanca</t>
        </is>
      </c>
      <c r="E1114" s="3" t="n">
        <v>1570000</v>
      </c>
      <c r="F1114" s="4" t="n">
        <v>112</v>
      </c>
      <c r="G1114" s="4" t="n"/>
      <c r="H1114" s="4" t="n"/>
      <c r="I1114" s="5">
        <f>IFERROR(E1114/F1114,"")</f>
        <v/>
      </c>
      <c r="J1114" s="2" t="n">
        <v>1</v>
      </c>
      <c r="K1114" s="2" t="n">
        <v>1</v>
      </c>
      <c r="L1114" s="2" t="n"/>
      <c r="M1114" s="2" t="n"/>
      <c r="N1114" s="2" t="n"/>
      <c r="O1114" s="2" t="n"/>
      <c r="P1114" s="2" t="inlineStr">
        <is>
          <t>LISTED</t>
        </is>
      </c>
      <c r="Q1114" s="2" t="n"/>
      <c r="R1114" s="2" t="n"/>
      <c r="S1114" s="2" t="n">
        <v>33.57102273205025</v>
      </c>
      <c r="T1114" s="2" t="n">
        <v>-7.641136068410366</v>
      </c>
      <c r="U1114" s="3" t="n">
        <v>9032</v>
      </c>
      <c r="V1114" s="2" t="inlineStr"/>
      <c r="W1114" s="6" t="inlineStr">
        <is>
          <t>https://yakeey.com/fr-ma/achat/biens/179608</t>
        </is>
      </c>
    </row>
    <row r="1115">
      <c r="A1115" t="inlineStr">
        <is>
          <t>186855</t>
        </is>
      </c>
      <c r="B1115" t="inlineStr">
        <is>
          <t>STUDIO</t>
        </is>
      </c>
      <c r="C1115" t="inlineStr">
        <is>
          <t>Californie</t>
        </is>
      </c>
      <c r="D1115" t="inlineStr">
        <is>
          <t>Casablanca</t>
        </is>
      </c>
      <c r="E1115" s="7" t="n">
        <v>1300000</v>
      </c>
      <c r="F1115" s="8" t="n">
        <v>147</v>
      </c>
      <c r="G1115" s="8" t="n"/>
      <c r="H1115" s="8" t="n"/>
      <c r="I1115" s="9">
        <f>IFERROR(E1115/F1115,"")</f>
        <v/>
      </c>
      <c r="J1115" t="n">
        <v>1</v>
      </c>
      <c r="K1115" t="n">
        <v>2</v>
      </c>
      <c r="P1115" t="inlineStr">
        <is>
          <t>LISTED</t>
        </is>
      </c>
      <c r="S1115" t="n">
        <v>33.53711202032402</v>
      </c>
      <c r="T1115" t="n">
        <v>-7.62177111969231</v>
      </c>
      <c r="U1115" s="7" t="n">
        <v>7478</v>
      </c>
      <c r="V1115" t="inlineStr"/>
      <c r="W1115" s="10" t="inlineStr">
        <is>
          <t>https://yakeey.com/fr-ma/achat/biens/186855</t>
        </is>
      </c>
    </row>
    <row r="1116">
      <c r="A1116" s="2" t="inlineStr">
        <is>
          <t>187078</t>
        </is>
      </c>
      <c r="B1116" s="2" t="inlineStr">
        <is>
          <t>STUDIO</t>
        </is>
      </c>
      <c r="C1116" s="2" t="inlineStr">
        <is>
          <t>Casablanca Marina</t>
        </is>
      </c>
      <c r="D1116" s="2" t="inlineStr">
        <is>
          <t>Casablanca</t>
        </is>
      </c>
      <c r="E1116" s="3" t="n">
        <v>2500000</v>
      </c>
      <c r="F1116" s="4" t="n">
        <v>70</v>
      </c>
      <c r="G1116" s="4" t="n"/>
      <c r="H1116" s="4" t="n"/>
      <c r="I1116" s="5">
        <f>IFERROR(E1116/F1116,"")</f>
        <v/>
      </c>
      <c r="J1116" s="2" t="n">
        <v>1</v>
      </c>
      <c r="K1116" s="2" t="n">
        <v>1</v>
      </c>
      <c r="L1116" s="2" t="n"/>
      <c r="M1116" s="2" t="n"/>
      <c r="N1116" s="2" t="n"/>
      <c r="O1116" s="2" t="n"/>
      <c r="P1116" s="2" t="inlineStr">
        <is>
          <t>LISTED</t>
        </is>
      </c>
      <c r="Q1116" s="2" t="n"/>
      <c r="R1116" s="2" t="n"/>
      <c r="S1116" s="2" t="n">
        <v>33.60832695149123</v>
      </c>
      <c r="T1116" s="2" t="n">
        <v>-7.629872176605708</v>
      </c>
      <c r="U1116" s="3" t="n">
        <v>14382</v>
      </c>
      <c r="V1116" s="2" t="inlineStr"/>
      <c r="W1116" s="6" t="inlineStr">
        <is>
          <t>https://yakeey.com/fr-ma/achat/biens/187078</t>
        </is>
      </c>
    </row>
    <row r="1117">
      <c r="A1117" t="inlineStr">
        <is>
          <t>188068</t>
        </is>
      </c>
      <c r="B1117" t="inlineStr">
        <is>
          <t>STUDIO</t>
        </is>
      </c>
      <c r="C1117" t="inlineStr">
        <is>
          <t>Gauthier</t>
        </is>
      </c>
      <c r="D1117" t="inlineStr">
        <is>
          <t>Casablanca</t>
        </is>
      </c>
      <c r="E1117" s="7" t="n">
        <v>1100000</v>
      </c>
      <c r="F1117" s="8" t="n">
        <v>71</v>
      </c>
      <c r="G1117" s="8" t="n"/>
      <c r="H1117" s="8" t="n"/>
      <c r="I1117" s="9">
        <f>IFERROR(E1117/F1117,"")</f>
        <v/>
      </c>
      <c r="J1117" t="n">
        <v>1</v>
      </c>
      <c r="K1117" t="n">
        <v>1</v>
      </c>
      <c r="P1117" t="inlineStr">
        <is>
          <t>LISTED</t>
        </is>
      </c>
      <c r="S1117" t="n">
        <v>33.59519244071726</v>
      </c>
      <c r="T1117" t="n">
        <v>-7.629851155170348</v>
      </c>
      <c r="U1117" s="7" t="n">
        <v>6328</v>
      </c>
      <c r="V1117" t="inlineStr"/>
      <c r="W1117" s="10" t="inlineStr">
        <is>
          <t>https://yakeey.com/fr-ma/achat/biens/188068</t>
        </is>
      </c>
    </row>
    <row r="1118">
      <c r="A1118" s="2" t="inlineStr">
        <is>
          <t>30928</t>
        </is>
      </c>
      <c r="B1118" s="2" t="inlineStr">
        <is>
          <t>STUDIO</t>
        </is>
      </c>
      <c r="C1118" s="2" t="inlineStr">
        <is>
          <t>Gauthier</t>
        </is>
      </c>
      <c r="D1118" s="2" t="inlineStr">
        <is>
          <t>Casablanca</t>
        </is>
      </c>
      <c r="E1118" s="3" t="n">
        <v>1200000</v>
      </c>
      <c r="F1118" s="4" t="n">
        <v>44</v>
      </c>
      <c r="G1118" s="4" t="n"/>
      <c r="H1118" s="4" t="n"/>
      <c r="I1118" s="5">
        <f>IFERROR(E1118/F1118,"")</f>
        <v/>
      </c>
      <c r="J1118" s="2" t="n">
        <v>1</v>
      </c>
      <c r="K1118" s="2" t="n">
        <v>1</v>
      </c>
      <c r="L1118" s="2" t="n"/>
      <c r="M1118" s="2" t="n"/>
      <c r="N1118" s="2" t="n"/>
      <c r="O1118" s="2" t="n"/>
      <c r="P1118" s="2" t="inlineStr">
        <is>
          <t>LISTED</t>
        </is>
      </c>
      <c r="Q1118" s="2" t="n"/>
      <c r="R1118" s="2" t="n"/>
      <c r="S1118" s="2" t="n">
        <v>33.59231014824663</v>
      </c>
      <c r="T1118" s="2" t="n">
        <v>-7.63123698816456</v>
      </c>
      <c r="U1118" s="3" t="n">
        <v>6903</v>
      </c>
      <c r="V1118" s="2" t="inlineStr"/>
      <c r="W1118" s="6" t="inlineStr">
        <is>
          <t>https://yakeey.com/fr-ma/achat/biens/30928</t>
        </is>
      </c>
    </row>
    <row r="1119">
      <c r="A1119" t="inlineStr">
        <is>
          <t>40779</t>
        </is>
      </c>
      <c r="B1119" t="inlineStr">
        <is>
          <t>STUDIO</t>
        </is>
      </c>
      <c r="C1119" t="inlineStr">
        <is>
          <t>Bourgogne (Sidi Belyout)</t>
        </is>
      </c>
      <c r="D1119" t="inlineStr">
        <is>
          <t>Casablanca</t>
        </is>
      </c>
      <c r="E1119" s="7" t="n">
        <v>1100000</v>
      </c>
      <c r="F1119" s="8" t="n">
        <v>51</v>
      </c>
      <c r="G1119" s="8" t="n"/>
      <c r="H1119" s="8" t="n"/>
      <c r="I1119" s="9">
        <f>IFERROR(E1119/F1119,"")</f>
        <v/>
      </c>
      <c r="J1119" t="n">
        <v>1</v>
      </c>
      <c r="K1119" t="n">
        <v>1</v>
      </c>
      <c r="P1119" t="inlineStr">
        <is>
          <t>LISTED</t>
        </is>
      </c>
      <c r="S1119" t="n">
        <v>33.59782518208701</v>
      </c>
      <c r="T1119" t="n">
        <v>-7.635221701701521</v>
      </c>
      <c r="U1119" s="7" t="n">
        <v>6328</v>
      </c>
      <c r="V1119" t="inlineStr"/>
      <c r="W1119" s="10" t="inlineStr">
        <is>
          <t>https://yakeey.com/fr-ma/achat/biens/40779</t>
        </is>
      </c>
    </row>
    <row r="1120">
      <c r="A1120" s="2" t="inlineStr">
        <is>
          <t>40963</t>
        </is>
      </c>
      <c r="B1120" s="2" t="inlineStr">
        <is>
          <t>STUDIO</t>
        </is>
      </c>
      <c r="C1120" s="2" t="inlineStr">
        <is>
          <t>Ibn Tachfine</t>
        </is>
      </c>
      <c r="D1120" s="2" t="inlineStr">
        <is>
          <t>Casablanca</t>
        </is>
      </c>
      <c r="E1120" s="3" t="n">
        <v>1150000</v>
      </c>
      <c r="F1120" s="4" t="n">
        <v>363</v>
      </c>
      <c r="G1120" s="4" t="n"/>
      <c r="H1120" s="4" t="n"/>
      <c r="I1120" s="5">
        <f>IFERROR(E1120/F1120,"")</f>
        <v/>
      </c>
      <c r="J1120" s="2" t="n">
        <v>1</v>
      </c>
      <c r="K1120" s="2" t="n">
        <v>1</v>
      </c>
      <c r="L1120" s="2" t="n"/>
      <c r="M1120" s="2" t="n"/>
      <c r="N1120" s="2" t="n"/>
      <c r="O1120" s="2" t="n"/>
      <c r="P1120" s="2" t="inlineStr">
        <is>
          <t>LISTED</t>
        </is>
      </c>
      <c r="Q1120" s="2" t="n"/>
      <c r="R1120" s="2" t="n"/>
      <c r="S1120" s="2" t="n">
        <v>33.58770995642853</v>
      </c>
      <c r="T1120" s="2" t="n">
        <v>-7.586895512376655</v>
      </c>
      <c r="U1120" s="3" t="n">
        <v>6616</v>
      </c>
      <c r="V1120" s="2" t="inlineStr"/>
      <c r="W1120" s="6" t="inlineStr">
        <is>
          <t>https://yakeey.com/fr-ma/achat/biens/40963</t>
        </is>
      </c>
    </row>
    <row r="1121">
      <c r="A1121" t="inlineStr">
        <is>
          <t>47824</t>
        </is>
      </c>
      <c r="B1121" t="inlineStr">
        <is>
          <t>STUDIO</t>
        </is>
      </c>
      <c r="C1121" t="inlineStr">
        <is>
          <t>Ferme Bretonne</t>
        </is>
      </c>
      <c r="D1121" t="inlineStr">
        <is>
          <t>Casablanca</t>
        </is>
      </c>
      <c r="E1121" s="7" t="n">
        <v>1470000</v>
      </c>
      <c r="F1121" s="8" t="n">
        <v>62</v>
      </c>
      <c r="G1121" s="8" t="n"/>
      <c r="H1121" s="8" t="n"/>
      <c r="I1121" s="9">
        <f>IFERROR(E1121/F1121,"")</f>
        <v/>
      </c>
      <c r="J1121" t="n">
        <v>1</v>
      </c>
      <c r="K1121" t="n">
        <v>1</v>
      </c>
      <c r="P1121" t="inlineStr">
        <is>
          <t>LISTED</t>
        </is>
      </c>
      <c r="S1121" t="n">
        <v>33.56323660923148</v>
      </c>
      <c r="T1121" t="n">
        <v>-7.645700900195751</v>
      </c>
      <c r="U1121" s="7" t="n">
        <v>8456</v>
      </c>
      <c r="V1121" t="inlineStr"/>
      <c r="W1121" s="10" t="inlineStr">
        <is>
          <t>https://yakeey.com/fr-ma/achat/biens/47824</t>
        </is>
      </c>
    </row>
    <row r="1122">
      <c r="A1122" s="2" t="inlineStr">
        <is>
          <t>62044</t>
        </is>
      </c>
      <c r="B1122" s="2" t="inlineStr">
        <is>
          <t>STUDIO</t>
        </is>
      </c>
      <c r="C1122" s="2" t="inlineStr">
        <is>
          <t>Hippodrome</t>
        </is>
      </c>
      <c r="D1122" s="2" t="inlineStr">
        <is>
          <t>Casablanca</t>
        </is>
      </c>
      <c r="E1122" s="3" t="n">
        <v>1150000</v>
      </c>
      <c r="F1122" s="4" t="n">
        <v>92</v>
      </c>
      <c r="G1122" s="4" t="n"/>
      <c r="H1122" s="4" t="n"/>
      <c r="I1122" s="5">
        <f>IFERROR(E1122/F1122,"")</f>
        <v/>
      </c>
      <c r="J1122" s="2" t="n">
        <v>1</v>
      </c>
      <c r="K1122" s="2" t="n">
        <v>1</v>
      </c>
      <c r="L1122" s="2" t="n"/>
      <c r="M1122" s="2" t="n"/>
      <c r="N1122" s="2" t="n"/>
      <c r="O1122" s="2" t="n"/>
      <c r="P1122" s="2" t="inlineStr">
        <is>
          <t>LISTED</t>
        </is>
      </c>
      <c r="Q1122" s="2" t="n"/>
      <c r="R1122" s="2" t="n"/>
      <c r="S1122" s="2" t="n">
        <v>33.58444124264015</v>
      </c>
      <c r="T1122" s="2" t="n">
        <v>-7.65110707031545</v>
      </c>
      <c r="U1122" s="3" t="n">
        <v>6616</v>
      </c>
      <c r="V1122" s="2" t="inlineStr"/>
      <c r="W1122" s="6" t="inlineStr">
        <is>
          <t>https://yakeey.com/fr-ma/achat/biens/62044</t>
        </is>
      </c>
    </row>
    <row r="1123">
      <c r="A1123" t="inlineStr">
        <is>
          <t>63860</t>
        </is>
      </c>
      <c r="B1123" t="inlineStr">
        <is>
          <t>STUDIO</t>
        </is>
      </c>
      <c r="C1123" t="inlineStr">
        <is>
          <t>Quartier Bd Med V</t>
        </is>
      </c>
      <c r="D1123" t="inlineStr">
        <is>
          <t>Casablanca</t>
        </is>
      </c>
      <c r="E1123" s="7" t="n">
        <v>840000</v>
      </c>
      <c r="F1123" s="8" t="n">
        <v>56</v>
      </c>
      <c r="G1123" s="8" t="n"/>
      <c r="H1123" s="8" t="n"/>
      <c r="I1123" s="9">
        <f>IFERROR(E1123/F1123,"")</f>
        <v/>
      </c>
      <c r="J1123" t="n">
        <v>1</v>
      </c>
      <c r="K1123" t="n">
        <v>1</v>
      </c>
      <c r="P1123" t="inlineStr">
        <is>
          <t>LISTED</t>
        </is>
      </c>
      <c r="S1123" t="n">
        <v>33.59455860329869</v>
      </c>
      <c r="T1123" t="n">
        <v>-7.610716846535616</v>
      </c>
      <c r="U1123" s="7" t="n">
        <v>4832</v>
      </c>
      <c r="V1123" t="inlineStr"/>
      <c r="W1123" s="10" t="inlineStr">
        <is>
          <t>https://yakeey.com/fr-ma/achat/biens/63860</t>
        </is>
      </c>
    </row>
    <row r="1124">
      <c r="A1124" s="2" t="inlineStr">
        <is>
          <t>6691</t>
        </is>
      </c>
      <c r="B1124" s="2" t="inlineStr">
        <is>
          <t>STUDIO</t>
        </is>
      </c>
      <c r="C1124" s="2" t="inlineStr">
        <is>
          <t>Oulfa</t>
        </is>
      </c>
      <c r="D1124" s="2" t="inlineStr">
        <is>
          <t>Casablanca</t>
        </is>
      </c>
      <c r="E1124" s="3" t="n">
        <v>1000000</v>
      </c>
      <c r="F1124" s="4" t="n">
        <v>149</v>
      </c>
      <c r="G1124" s="4" t="n"/>
      <c r="H1124" s="4" t="n"/>
      <c r="I1124" s="5">
        <f>IFERROR(E1124/F1124,"")</f>
        <v/>
      </c>
      <c r="J1124" s="2" t="n">
        <v>1</v>
      </c>
      <c r="K1124" s="2" t="n">
        <v>1</v>
      </c>
      <c r="L1124" s="2" t="n"/>
      <c r="M1124" s="2" t="n"/>
      <c r="N1124" s="2" t="n"/>
      <c r="O1124" s="2" t="n"/>
      <c r="P1124" s="2" t="inlineStr">
        <is>
          <t>LISTED</t>
        </is>
      </c>
      <c r="Q1124" s="2" t="n"/>
      <c r="R1124" s="2" t="n"/>
      <c r="S1124" s="2" t="n">
        <v>33.54003689201893</v>
      </c>
      <c r="T1124" s="2" t="n">
        <v>-7.679663669076757</v>
      </c>
      <c r="U1124" s="3" t="n">
        <v>5753</v>
      </c>
      <c r="V1124" s="2" t="inlineStr"/>
      <c r="W1124" s="6" t="inlineStr">
        <is>
          <t>https://yakeey.com/fr-ma/achat/biens/6691</t>
        </is>
      </c>
    </row>
    <row r="1125">
      <c r="A1125" t="inlineStr">
        <is>
          <t>73907</t>
        </is>
      </c>
      <c r="B1125" t="inlineStr">
        <is>
          <t>STUDIO</t>
        </is>
      </c>
      <c r="C1125" t="inlineStr">
        <is>
          <t>Burger</t>
        </is>
      </c>
      <c r="D1125" t="inlineStr">
        <is>
          <t>Casablanca</t>
        </is>
      </c>
      <c r="E1125" s="7" t="n">
        <v>1380000</v>
      </c>
      <c r="F1125" s="8" t="n">
        <v>80</v>
      </c>
      <c r="G1125" s="8" t="n"/>
      <c r="H1125" s="8" t="n"/>
      <c r="I1125" s="9">
        <f>IFERROR(E1125/F1125,"")</f>
        <v/>
      </c>
      <c r="J1125" t="n">
        <v>1</v>
      </c>
      <c r="K1125" t="n">
        <v>1</v>
      </c>
      <c r="P1125" t="inlineStr">
        <is>
          <t>LISTED</t>
        </is>
      </c>
      <c r="S1125" t="n">
        <v>33.57198333523873</v>
      </c>
      <c r="T1125" t="n">
        <v>-7.644264045906554</v>
      </c>
      <c r="U1125" s="7" t="n">
        <v>7939</v>
      </c>
      <c r="V1125" t="inlineStr"/>
      <c r="W1125" s="10" t="inlineStr">
        <is>
          <t>https://yakeey.com/fr-ma/achat/biens/73907</t>
        </is>
      </c>
    </row>
    <row r="1126">
      <c r="A1126" s="2" t="inlineStr">
        <is>
          <t>79170</t>
        </is>
      </c>
      <c r="B1126" s="2" t="inlineStr">
        <is>
          <t>STUDIO</t>
        </is>
      </c>
      <c r="C1126" s="2" t="inlineStr">
        <is>
          <t>Les Princesses</t>
        </is>
      </c>
      <c r="D1126" s="2" t="inlineStr">
        <is>
          <t>Casablanca</t>
        </is>
      </c>
      <c r="E1126" s="3" t="n">
        <v>1470000</v>
      </c>
      <c r="F1126" s="4" t="n">
        <v>59</v>
      </c>
      <c r="G1126" s="4" t="n"/>
      <c r="H1126" s="4" t="n"/>
      <c r="I1126" s="5">
        <f>IFERROR(E1126/F1126,"")</f>
        <v/>
      </c>
      <c r="J1126" s="2" t="n">
        <v>1</v>
      </c>
      <c r="K1126" s="2" t="n">
        <v>1</v>
      </c>
      <c r="L1126" s="2" t="n"/>
      <c r="M1126" s="2" t="n"/>
      <c r="N1126" s="2" t="n"/>
      <c r="O1126" s="2" t="n"/>
      <c r="P1126" s="2" t="inlineStr">
        <is>
          <t>LISTED</t>
        </is>
      </c>
      <c r="Q1126" s="2" t="n"/>
      <c r="R1126" s="2" t="n"/>
      <c r="S1126" s="2" t="n">
        <v>33.5781009029939</v>
      </c>
      <c r="T1126" s="2" t="n">
        <v>-7.647790606832176</v>
      </c>
      <c r="U1126" s="3" t="n">
        <v>8456</v>
      </c>
      <c r="V1126" s="2" t="inlineStr"/>
      <c r="W1126" s="6" t="inlineStr">
        <is>
          <t>https://yakeey.com/fr-ma/achat/biens/79170</t>
        </is>
      </c>
    </row>
    <row r="1127">
      <c r="A1127" t="inlineStr">
        <is>
          <t>102851</t>
        </is>
      </c>
      <c r="B1127" t="inlineStr">
        <is>
          <t>TERRAIN</t>
        </is>
      </c>
      <c r="C1127" t="inlineStr">
        <is>
          <t>Sidi Bernoussi</t>
        </is>
      </c>
      <c r="D1127" t="inlineStr">
        <is>
          <t>Casablanca</t>
        </is>
      </c>
      <c r="E1127" s="7" t="n">
        <v>2180000</v>
      </c>
      <c r="F1127" s="8" t="n">
        <v>88</v>
      </c>
      <c r="G1127" s="8" t="n"/>
      <c r="H1127" s="8" t="n"/>
      <c r="I1127" s="9">
        <f>IFERROR(E1127/F1127,"")</f>
        <v/>
      </c>
      <c r="P1127" t="inlineStr">
        <is>
          <t>LISTED</t>
        </is>
      </c>
      <c r="S1127" t="n">
        <v>33.60319198458161</v>
      </c>
      <c r="T1127" t="n">
        <v>-7.514573082736999</v>
      </c>
      <c r="U1127" s="7" t="n">
        <v>12541</v>
      </c>
      <c r="V1127" t="inlineStr"/>
      <c r="W1127" s="10" t="inlineStr">
        <is>
          <t>https://yakeey.com/fr-ma/achat/biens/102851</t>
        </is>
      </c>
    </row>
    <row r="1128">
      <c r="A1128" s="2" t="inlineStr">
        <is>
          <t>10516</t>
        </is>
      </c>
      <c r="B1128" s="2" t="inlineStr">
        <is>
          <t>TERRAIN</t>
        </is>
      </c>
      <c r="C1128" s="2" t="inlineStr">
        <is>
          <t>Belvedere (Roches Noires)</t>
        </is>
      </c>
      <c r="D1128" s="2" t="inlineStr">
        <is>
          <t>Casablanca</t>
        </is>
      </c>
      <c r="E1128" s="3" t="n">
        <v>12150000</v>
      </c>
      <c r="F1128" s="4" t="n">
        <v>1350</v>
      </c>
      <c r="G1128" s="4" t="n"/>
      <c r="H1128" s="4" t="n"/>
      <c r="I1128" s="5">
        <f>IFERROR(E1128/F1128,"")</f>
        <v/>
      </c>
      <c r="J1128" s="2" t="n"/>
      <c r="K1128" s="2" t="n"/>
      <c r="L1128" s="2" t="n"/>
      <c r="M1128" s="2" t="n"/>
      <c r="N1128" s="2" t="n"/>
      <c r="O1128" s="2" t="n"/>
      <c r="P1128" s="2" t="inlineStr">
        <is>
          <t>LISTED</t>
        </is>
      </c>
      <c r="Q1128" s="2" t="n"/>
      <c r="R1128" s="2" t="n"/>
      <c r="S1128" s="2" t="n">
        <v>33.59517640225801</v>
      </c>
      <c r="T1128" s="2" t="n">
        <v>-7.594738219857416</v>
      </c>
      <c r="U1128" s="3" t="n">
        <v>69899</v>
      </c>
      <c r="V1128" s="2" t="inlineStr"/>
      <c r="W1128" s="6" t="inlineStr">
        <is>
          <t>https://yakeey.com/fr-ma/achat/biens/10516</t>
        </is>
      </c>
    </row>
    <row r="1129">
      <c r="A1129" t="inlineStr">
        <is>
          <t>1190</t>
        </is>
      </c>
      <c r="B1129" t="inlineStr">
        <is>
          <t>TERRAIN</t>
        </is>
      </c>
      <c r="C1129" t="inlineStr">
        <is>
          <t>Bouskoura</t>
        </is>
      </c>
      <c r="D1129" t="inlineStr">
        <is>
          <t>Bouskoura</t>
        </is>
      </c>
      <c r="E1129" s="7" t="n">
        <v>105000000</v>
      </c>
      <c r="F1129" s="8" t="n">
        <v>105000</v>
      </c>
      <c r="G1129" s="8" t="n"/>
      <c r="H1129" s="8" t="n"/>
      <c r="I1129" s="9">
        <f>IFERROR(E1129/F1129,"")</f>
        <v/>
      </c>
      <c r="P1129" t="inlineStr">
        <is>
          <t>LISTED</t>
        </is>
      </c>
      <c r="S1129" t="n">
        <v>33.44905680907542</v>
      </c>
      <c r="T1129" t="n">
        <v>-7.6330157005997</v>
      </c>
      <c r="U1129" s="7" t="n">
        <v>604071</v>
      </c>
      <c r="V1129" t="inlineStr"/>
      <c r="W1129" s="10" t="inlineStr">
        <is>
          <t>https://yakeey.com/fr-ma/achat/biens/1190</t>
        </is>
      </c>
    </row>
    <row r="1130">
      <c r="A1130" s="2" t="inlineStr">
        <is>
          <t>155252</t>
        </is>
      </c>
      <c r="B1130" s="2" t="inlineStr">
        <is>
          <t>TERRAIN</t>
        </is>
      </c>
      <c r="C1130" s="2" t="inlineStr">
        <is>
          <t>Ain Diab</t>
        </is>
      </c>
      <c r="D1130" s="2" t="inlineStr">
        <is>
          <t>Casablanca</t>
        </is>
      </c>
      <c r="E1130" s="3" t="n">
        <v>14050000</v>
      </c>
      <c r="F1130" s="4" t="n">
        <v>1174</v>
      </c>
      <c r="G1130" s="4" t="n"/>
      <c r="H1130" s="4" t="n"/>
      <c r="I1130" s="5">
        <f>IFERROR(E1130/F1130,"")</f>
        <v/>
      </c>
      <c r="J1130" s="2" t="n"/>
      <c r="K1130" s="2" t="n"/>
      <c r="L1130" s="2" t="n"/>
      <c r="M1130" s="2" t="n"/>
      <c r="N1130" s="2" t="n"/>
      <c r="O1130" s="2" t="n"/>
      <c r="P1130" s="2" t="inlineStr">
        <is>
          <t>LISTED</t>
        </is>
      </c>
      <c r="Q1130" s="2" t="n"/>
      <c r="R1130" s="2" t="n"/>
      <c r="S1130" s="2" t="n">
        <v>33.57562791644119</v>
      </c>
      <c r="T1130" s="2" t="n">
        <v>-7.697267149890841</v>
      </c>
      <c r="U1130" s="3" t="n">
        <v>80830</v>
      </c>
      <c r="V1130" s="2" t="inlineStr"/>
      <c r="W1130" s="6" t="inlineStr">
        <is>
          <t>https://yakeey.com/fr-ma/achat/biens/155252</t>
        </is>
      </c>
    </row>
    <row r="1131">
      <c r="A1131" t="inlineStr">
        <is>
          <t>161834</t>
        </is>
      </c>
      <c r="B1131" t="inlineStr">
        <is>
          <t>TERRAIN</t>
        </is>
      </c>
      <c r="C1131" t="inlineStr">
        <is>
          <t>Roches Noires</t>
        </is>
      </c>
      <c r="D1131" t="inlineStr">
        <is>
          <t>Casablanca</t>
        </is>
      </c>
      <c r="E1131" s="7" t="n">
        <v>4800000</v>
      </c>
      <c r="F1131" s="8" t="n">
        <v>600</v>
      </c>
      <c r="G1131" s="8" t="n"/>
      <c r="H1131" s="8" t="n"/>
      <c r="I1131" s="9">
        <f>IFERROR(E1131/F1131,"")</f>
        <v/>
      </c>
      <c r="P1131" t="inlineStr">
        <is>
          <t>LISTED</t>
        </is>
      </c>
      <c r="S1131" t="n">
        <v>33.59869703761625</v>
      </c>
      <c r="T1131" t="n">
        <v>-7.576545200002919</v>
      </c>
      <c r="U1131" s="7" t="n">
        <v>27614</v>
      </c>
      <c r="V1131" t="inlineStr"/>
      <c r="W1131" s="10" t="inlineStr">
        <is>
          <t>https://yakeey.com/fr-ma/achat/biens/161834</t>
        </is>
      </c>
    </row>
    <row r="1132">
      <c r="A1132" s="2" t="inlineStr">
        <is>
          <t>161954</t>
        </is>
      </c>
      <c r="B1132" s="2" t="inlineStr">
        <is>
          <t>TERRAIN</t>
        </is>
      </c>
      <c r="C1132" s="2" t="inlineStr">
        <is>
          <t>Ain Diab Extension 2</t>
        </is>
      </c>
      <c r="D1132" s="2" t="inlineStr">
        <is>
          <t>Casablanca</t>
        </is>
      </c>
      <c r="E1132" s="3" t="n">
        <v>52500000</v>
      </c>
      <c r="F1132" s="4" t="n">
        <v>6524</v>
      </c>
      <c r="G1132" s="4" t="n"/>
      <c r="H1132" s="4" t="n"/>
      <c r="I1132" s="5">
        <f>IFERROR(E1132/F1132,"")</f>
        <v/>
      </c>
      <c r="J1132" s="2" t="n"/>
      <c r="K1132" s="2" t="n"/>
      <c r="L1132" s="2" t="n"/>
      <c r="M1132" s="2" t="n"/>
      <c r="N1132" s="2" t="n"/>
      <c r="O1132" s="2" t="n"/>
      <c r="P1132" s="2" t="inlineStr">
        <is>
          <t>LISTED</t>
        </is>
      </c>
      <c r="Q1132" s="2" t="n"/>
      <c r="R1132" s="2" t="n"/>
      <c r="S1132" s="2" t="n">
        <v>33.56024896928015</v>
      </c>
      <c r="T1132" s="2" t="n">
        <v>-7.7213518800025</v>
      </c>
      <c r="U1132" s="3" t="n">
        <v>302035</v>
      </c>
      <c r="V1132" s="2" t="inlineStr"/>
      <c r="W1132" s="6" t="inlineStr">
        <is>
          <t>https://yakeey.com/fr-ma/achat/biens/161954</t>
        </is>
      </c>
    </row>
    <row r="1133">
      <c r="A1133" t="inlineStr">
        <is>
          <t>17274</t>
        </is>
      </c>
      <c r="B1133" t="inlineStr">
        <is>
          <t>TERRAIN</t>
        </is>
      </c>
      <c r="C1133" t="inlineStr">
        <is>
          <t>Tamaris2</t>
        </is>
      </c>
      <c r="D1133" t="inlineStr">
        <is>
          <t>Dar Bouazza</t>
        </is>
      </c>
      <c r="E1133" s="7" t="n">
        <v>9225000</v>
      </c>
      <c r="F1133" s="8" t="n">
        <v>2050</v>
      </c>
      <c r="G1133" s="8" t="n"/>
      <c r="H1133" s="8" t="n"/>
      <c r="I1133" s="9">
        <f>IFERROR(E1133/F1133,"")</f>
        <v/>
      </c>
      <c r="P1133" t="inlineStr">
        <is>
          <t>LISTED</t>
        </is>
      </c>
      <c r="S1133" t="n">
        <v>33.52294356604501</v>
      </c>
      <c r="T1133" t="n">
        <v>-7.843368261425233</v>
      </c>
      <c r="U1133" s="7" t="n">
        <v>53071</v>
      </c>
      <c r="V1133" t="inlineStr"/>
      <c r="W1133" s="10" t="inlineStr">
        <is>
          <t>https://yakeey.com/fr-ma/achat/biens/17274</t>
        </is>
      </c>
    </row>
    <row r="1134">
      <c r="A1134" s="2" t="inlineStr">
        <is>
          <t>178882</t>
        </is>
      </c>
      <c r="B1134" s="2" t="inlineStr">
        <is>
          <t>TERRAIN</t>
        </is>
      </c>
      <c r="C1134" s="2" t="inlineStr">
        <is>
          <t>Ain Diab</t>
        </is>
      </c>
      <c r="D1134" s="2" t="inlineStr">
        <is>
          <t>Casablanca</t>
        </is>
      </c>
      <c r="E1134" s="3" t="n">
        <v>18200000</v>
      </c>
      <c r="F1134" s="4" t="n">
        <v>650</v>
      </c>
      <c r="G1134" s="4" t="n"/>
      <c r="H1134" s="4" t="n"/>
      <c r="I1134" s="5">
        <f>IFERROR(E1134/F1134,"")</f>
        <v/>
      </c>
      <c r="J1134" s="2" t="n"/>
      <c r="K1134" s="2" t="n"/>
      <c r="L1134" s="2" t="n"/>
      <c r="M1134" s="2" t="n"/>
      <c r="N1134" s="2" t="n"/>
      <c r="O1134" s="2" t="n"/>
      <c r="P1134" s="2" t="inlineStr">
        <is>
          <t>LISTED</t>
        </is>
      </c>
      <c r="Q1134" s="2" t="n"/>
      <c r="R1134" s="2" t="n"/>
      <c r="S1134" s="2" t="n">
        <v>33.59536275555839</v>
      </c>
      <c r="T1134" s="2" t="n">
        <v>-7.678212084408721</v>
      </c>
      <c r="U1134" s="3" t="n">
        <v>104705</v>
      </c>
      <c r="V1134" s="2" t="inlineStr"/>
      <c r="W1134" s="6" t="inlineStr">
        <is>
          <t>https://yakeey.com/fr-ma/achat/biens/178882</t>
        </is>
      </c>
    </row>
    <row r="1135">
      <c r="A1135" t="inlineStr">
        <is>
          <t>181671</t>
        </is>
      </c>
      <c r="B1135" t="inlineStr">
        <is>
          <t>TERRAIN</t>
        </is>
      </c>
      <c r="C1135" t="inlineStr">
        <is>
          <t>Sidi Maarouf</t>
        </is>
      </c>
      <c r="D1135" t="inlineStr">
        <is>
          <t>Casablanca</t>
        </is>
      </c>
      <c r="E1135" s="7" t="n">
        <v>34564000</v>
      </c>
      <c r="F1135" s="8" t="n">
        <v>3124</v>
      </c>
      <c r="G1135" s="8" t="n"/>
      <c r="H1135" s="8" t="n"/>
      <c r="I1135" s="9">
        <f>IFERROR(E1135/F1135,"")</f>
        <v/>
      </c>
      <c r="P1135" t="inlineStr">
        <is>
          <t>LISTED</t>
        </is>
      </c>
      <c r="S1135" t="n">
        <v>33.514548961034</v>
      </c>
      <c r="T1135" t="n">
        <v>-7.641108999348051</v>
      </c>
      <c r="U1135" s="7" t="n">
        <v>198848</v>
      </c>
      <c r="V1135" t="inlineStr"/>
      <c r="W1135" s="10" t="inlineStr">
        <is>
          <t>https://yakeey.com/fr-ma/achat/biens/181671</t>
        </is>
      </c>
    </row>
    <row r="1136">
      <c r="A1136" s="2" t="inlineStr">
        <is>
          <t>182034</t>
        </is>
      </c>
      <c r="B1136" s="2" t="inlineStr">
        <is>
          <t>TERRAIN</t>
        </is>
      </c>
      <c r="C1136" s="2" t="inlineStr">
        <is>
          <t>Sidi Moumen</t>
        </is>
      </c>
      <c r="D1136" s="2" t="inlineStr">
        <is>
          <t>Casablanca</t>
        </is>
      </c>
      <c r="E1136" s="3" t="n">
        <v>2250000</v>
      </c>
      <c r="F1136" s="4" t="n">
        <v>375</v>
      </c>
      <c r="G1136" s="4" t="n"/>
      <c r="H1136" s="4" t="n"/>
      <c r="I1136" s="5">
        <f>IFERROR(E1136/F1136,"")</f>
        <v/>
      </c>
      <c r="J1136" s="2" t="n"/>
      <c r="K1136" s="2" t="n"/>
      <c r="L1136" s="2" t="n"/>
      <c r="M1136" s="2" t="n"/>
      <c r="N1136" s="2" t="n"/>
      <c r="O1136" s="2" t="n"/>
      <c r="P1136" s="2" t="inlineStr">
        <is>
          <t>LISTED</t>
        </is>
      </c>
      <c r="Q1136" s="2" t="n"/>
      <c r="R1136" s="2" t="n"/>
      <c r="S1136" s="2" t="n">
        <v>33.57894928737172</v>
      </c>
      <c r="T1136" s="2" t="n">
        <v>-7.511006688044203</v>
      </c>
      <c r="U1136" s="3" t="n">
        <v>12944</v>
      </c>
      <c r="V1136" s="2" t="inlineStr"/>
      <c r="W1136" s="6" t="inlineStr">
        <is>
          <t>https://yakeey.com/fr-ma/achat/biens/182034</t>
        </is>
      </c>
    </row>
    <row r="1137">
      <c r="A1137" t="inlineStr">
        <is>
          <t>18364</t>
        </is>
      </c>
      <c r="B1137" t="inlineStr">
        <is>
          <t>TERRAIN</t>
        </is>
      </c>
      <c r="C1137" t="inlineStr">
        <is>
          <t>Fadaat Al Mouhit</t>
        </is>
      </c>
      <c r="D1137" t="inlineStr">
        <is>
          <t>Casablanca</t>
        </is>
      </c>
      <c r="E1137" s="7" t="n">
        <v>7000000</v>
      </c>
      <c r="F1137" s="8" t="n">
        <v>999</v>
      </c>
      <c r="G1137" s="8" t="n"/>
      <c r="H1137" s="8" t="n"/>
      <c r="I1137" s="9">
        <f>IFERROR(E1137/F1137,"")</f>
        <v/>
      </c>
      <c r="P1137" t="inlineStr">
        <is>
          <t>LISTED</t>
        </is>
      </c>
      <c r="S1137" t="n">
        <v>33.52802435991612</v>
      </c>
      <c r="T1137" t="n">
        <v>-7.773897797656315</v>
      </c>
      <c r="U1137" s="7" t="n">
        <v>40271</v>
      </c>
      <c r="V1137" t="inlineStr"/>
      <c r="W1137" s="10" t="inlineStr">
        <is>
          <t>https://yakeey.com/fr-ma/achat/biens/18364</t>
        </is>
      </c>
    </row>
    <row r="1138">
      <c r="A1138" s="2" t="inlineStr">
        <is>
          <t>185411</t>
        </is>
      </c>
      <c r="B1138" s="2" t="inlineStr">
        <is>
          <t>TERRAIN</t>
        </is>
      </c>
      <c r="C1138" s="2" t="inlineStr">
        <is>
          <t>Sidi Maarouf</t>
        </is>
      </c>
      <c r="D1138" s="2" t="inlineStr">
        <is>
          <t>Casablanca</t>
        </is>
      </c>
      <c r="E1138" s="3" t="n">
        <v>4114000</v>
      </c>
      <c r="F1138" s="4" t="n">
        <v>374</v>
      </c>
      <c r="G1138" s="4" t="n"/>
      <c r="H1138" s="4" t="n"/>
      <c r="I1138" s="5">
        <f>IFERROR(E1138/F1138,"")</f>
        <v/>
      </c>
      <c r="J1138" s="2" t="n"/>
      <c r="K1138" s="2" t="n"/>
      <c r="L1138" s="2" t="n"/>
      <c r="M1138" s="2" t="n"/>
      <c r="N1138" s="2" t="n"/>
      <c r="O1138" s="2" t="n"/>
      <c r="P1138" s="2" t="inlineStr">
        <is>
          <t>LISTED</t>
        </is>
      </c>
      <c r="Q1138" s="2" t="n"/>
      <c r="R1138" s="2" t="n"/>
      <c r="S1138" s="2" t="n">
        <v>33.51642847344323</v>
      </c>
      <c r="T1138" s="2" t="n">
        <v>-7.657785630266405</v>
      </c>
      <c r="U1138" s="3" t="n">
        <v>23668</v>
      </c>
      <c r="V1138" s="2" t="inlineStr"/>
      <c r="W1138" s="6" t="inlineStr">
        <is>
          <t>https://yakeey.com/fr-ma/achat/biens/185411</t>
        </is>
      </c>
    </row>
    <row r="1139">
      <c r="A1139" t="inlineStr">
        <is>
          <t>21185</t>
        </is>
      </c>
      <c r="B1139" t="inlineStr">
        <is>
          <t>TERRAIN</t>
        </is>
      </c>
      <c r="C1139" t="inlineStr">
        <is>
          <t>Longchamps</t>
        </is>
      </c>
      <c r="D1139" t="inlineStr">
        <is>
          <t>Casablanca</t>
        </is>
      </c>
      <c r="E1139" s="7" t="n">
        <v>18250000</v>
      </c>
      <c r="F1139" s="8" t="n">
        <v>1588</v>
      </c>
      <c r="G1139" s="8" t="n"/>
      <c r="H1139" s="8" t="n"/>
      <c r="I1139" s="9">
        <f>IFERROR(E1139/F1139,"")</f>
        <v/>
      </c>
      <c r="P1139" t="inlineStr">
        <is>
          <t>LISTED</t>
        </is>
      </c>
      <c r="S1139" t="n">
        <v>33.57387517852469</v>
      </c>
      <c r="T1139" t="n">
        <v>-7.670648722222961</v>
      </c>
      <c r="U1139" s="7" t="n">
        <v>104993</v>
      </c>
      <c r="V1139" t="inlineStr"/>
      <c r="W1139" s="10" t="inlineStr">
        <is>
          <t>https://yakeey.com/fr-ma/achat/biens/21185</t>
        </is>
      </c>
    </row>
    <row r="1140">
      <c r="A1140" s="2" t="inlineStr">
        <is>
          <t>2166</t>
        </is>
      </c>
      <c r="B1140" s="2" t="inlineStr">
        <is>
          <t>TERRAIN</t>
        </is>
      </c>
      <c r="C1140" s="2" t="inlineStr">
        <is>
          <t>Anfa Superieur</t>
        </is>
      </c>
      <c r="D1140" s="2" t="inlineStr">
        <is>
          <t>Casablanca</t>
        </is>
      </c>
      <c r="E1140" s="3" t="n">
        <v>28386000</v>
      </c>
      <c r="F1140" s="4" t="n">
        <v>1577</v>
      </c>
      <c r="G1140" s="4" t="n"/>
      <c r="H1140" s="4" t="n"/>
      <c r="I1140" s="5">
        <f>IFERROR(E1140/F1140,"")</f>
        <v/>
      </c>
      <c r="J1140" s="2" t="n"/>
      <c r="K1140" s="2" t="n"/>
      <c r="L1140" s="2" t="n"/>
      <c r="M1140" s="2" t="n"/>
      <c r="N1140" s="2" t="n"/>
      <c r="O1140" s="2" t="n"/>
      <c r="P1140" s="2" t="inlineStr">
        <is>
          <t>LISTED</t>
        </is>
      </c>
      <c r="Q1140" s="2" t="n"/>
      <c r="R1140" s="2" t="n"/>
      <c r="S1140" s="2" t="n">
        <v>33.5935819400302</v>
      </c>
      <c r="T1140" s="2" t="n">
        <v>-7.665851289634948</v>
      </c>
      <c r="U1140" s="3" t="n">
        <v>163306</v>
      </c>
      <c r="V1140" s="2" t="inlineStr"/>
      <c r="W1140" s="6" t="inlineStr">
        <is>
          <t>https://yakeey.com/fr-ma/achat/biens/2166</t>
        </is>
      </c>
    </row>
    <row r="1141">
      <c r="A1141" t="inlineStr">
        <is>
          <t>2167</t>
        </is>
      </c>
      <c r="B1141" t="inlineStr">
        <is>
          <t>TERRAIN</t>
        </is>
      </c>
      <c r="C1141" t="inlineStr">
        <is>
          <t>Anfa Superieur</t>
        </is>
      </c>
      <c r="D1141" t="inlineStr">
        <is>
          <t>Casablanca</t>
        </is>
      </c>
      <c r="E1141" s="7" t="n">
        <v>25650000</v>
      </c>
      <c r="F1141" s="8" t="n">
        <v>1425</v>
      </c>
      <c r="G1141" s="8" t="n"/>
      <c r="H1141" s="8" t="n"/>
      <c r="I1141" s="9">
        <f>IFERROR(E1141/F1141,"")</f>
        <v/>
      </c>
      <c r="P1141" t="inlineStr">
        <is>
          <t>LISTED</t>
        </is>
      </c>
      <c r="S1141" t="n">
        <v>33.59298154934359</v>
      </c>
      <c r="T1141" t="n">
        <v>-7.666858328447471</v>
      </c>
      <c r="U1141" s="7" t="n">
        <v>147565</v>
      </c>
      <c r="V1141" t="inlineStr"/>
      <c r="W1141" s="10" t="inlineStr">
        <is>
          <t>https://yakeey.com/fr-ma/achat/biens/2167</t>
        </is>
      </c>
    </row>
    <row r="1142">
      <c r="A1142" s="2" t="inlineStr">
        <is>
          <t>24767</t>
        </is>
      </c>
      <c r="B1142" s="2" t="inlineStr">
        <is>
          <t>TERRAIN</t>
        </is>
      </c>
      <c r="C1142" s="2" t="inlineStr">
        <is>
          <t>Riad Bouskoura</t>
        </is>
      </c>
      <c r="D1142" s="2" t="inlineStr">
        <is>
          <t>Casablanca</t>
        </is>
      </c>
      <c r="E1142" s="3" t="n">
        <v>3600000</v>
      </c>
      <c r="F1142" s="4" t="n">
        <v>700</v>
      </c>
      <c r="G1142" s="4" t="n"/>
      <c r="H1142" s="4" t="n"/>
      <c r="I1142" s="5">
        <f>IFERROR(E1142/F1142,"")</f>
        <v/>
      </c>
      <c r="J1142" s="2" t="n"/>
      <c r="K1142" s="2" t="n"/>
      <c r="L1142" s="2" t="n"/>
      <c r="M1142" s="2" t="n"/>
      <c r="N1142" s="2" t="n"/>
      <c r="O1142" s="2" t="n"/>
      <c r="P1142" s="2" t="inlineStr">
        <is>
          <t>LISTED</t>
        </is>
      </c>
      <c r="Q1142" s="2" t="n"/>
      <c r="R1142" s="2" t="n"/>
      <c r="S1142" s="2" t="n">
        <v>33.48292538034097</v>
      </c>
      <c r="T1142" s="2" t="n">
        <v>-7.639259937434974</v>
      </c>
      <c r="U1142" s="3" t="n">
        <v>20711</v>
      </c>
      <c r="V1142" s="2" t="inlineStr"/>
      <c r="W1142" s="6" t="inlineStr">
        <is>
          <t>https://yakeey.com/fr-ma/achat/biens/24767</t>
        </is>
      </c>
    </row>
    <row r="1143">
      <c r="A1143" t="inlineStr">
        <is>
          <t>31538</t>
        </is>
      </c>
      <c r="B1143" t="inlineStr">
        <is>
          <t>TERRAIN</t>
        </is>
      </c>
      <c r="C1143" t="inlineStr">
        <is>
          <t>Sidi Abderrahman Extension</t>
        </is>
      </c>
      <c r="D1143" t="inlineStr">
        <is>
          <t>Casablanca</t>
        </is>
      </c>
      <c r="E1143" s="7" t="n">
        <v>13500000</v>
      </c>
      <c r="F1143" s="8" t="n">
        <v>729</v>
      </c>
      <c r="G1143" s="8" t="n"/>
      <c r="H1143" s="8" t="n"/>
      <c r="I1143" s="9">
        <f>IFERROR(E1143/F1143,"")</f>
        <v/>
      </c>
      <c r="P1143" t="inlineStr">
        <is>
          <t>LISTED</t>
        </is>
      </c>
      <c r="S1143" t="n">
        <v>33.5664001467274</v>
      </c>
      <c r="T1143" t="n">
        <v>-7.720699083524882</v>
      </c>
      <c r="U1143" s="7" t="n">
        <v>77666</v>
      </c>
      <c r="V1143" t="inlineStr"/>
      <c r="W1143" s="10" t="inlineStr">
        <is>
          <t>https://yakeey.com/fr-ma/achat/biens/31538</t>
        </is>
      </c>
    </row>
    <row r="1144">
      <c r="A1144" s="2" t="inlineStr">
        <is>
          <t>40412</t>
        </is>
      </c>
      <c r="B1144" s="2" t="inlineStr">
        <is>
          <t>TERRAIN</t>
        </is>
      </c>
      <c r="C1144" s="2" t="inlineStr">
        <is>
          <t>Tamaris2</t>
        </is>
      </c>
      <c r="D1144" s="2" t="inlineStr">
        <is>
          <t>Dar Bouazza</t>
        </is>
      </c>
      <c r="E1144" s="3" t="n">
        <v>3500000</v>
      </c>
      <c r="F1144" s="4" t="n">
        <v>546</v>
      </c>
      <c r="G1144" s="4" t="n"/>
      <c r="H1144" s="4" t="n"/>
      <c r="I1144" s="5">
        <f>IFERROR(E1144/F1144,"")</f>
        <v/>
      </c>
      <c r="J1144" s="2" t="n"/>
      <c r="K1144" s="2" t="n"/>
      <c r="L1144" s="2" t="n"/>
      <c r="M1144" s="2" t="n"/>
      <c r="N1144" s="2" t="n"/>
      <c r="O1144" s="2" t="n"/>
      <c r="P1144" s="2" t="inlineStr">
        <is>
          <t>LISTED</t>
        </is>
      </c>
      <c r="Q1144" s="2" t="n"/>
      <c r="R1144" s="2" t="n"/>
      <c r="S1144" s="2" t="n">
        <v>33.52466128740392</v>
      </c>
      <c r="T1144" s="2" t="n">
        <v>-7.824995464925815</v>
      </c>
      <c r="U1144" s="3" t="n">
        <v>20135</v>
      </c>
      <c r="V1144" s="2" t="inlineStr"/>
      <c r="W1144" s="6" t="inlineStr">
        <is>
          <t>https://yakeey.com/fr-ma/achat/biens/40412</t>
        </is>
      </c>
    </row>
    <row r="1145">
      <c r="A1145" t="inlineStr">
        <is>
          <t>46985</t>
        </is>
      </c>
      <c r="B1145" t="inlineStr">
        <is>
          <t>TERRAIN</t>
        </is>
      </c>
      <c r="C1145" t="inlineStr">
        <is>
          <t>Almaz (Hay Hassani)</t>
        </is>
      </c>
      <c r="D1145" t="inlineStr">
        <is>
          <t>Casablanca</t>
        </is>
      </c>
      <c r="E1145" s="7" t="n">
        <v>2052000</v>
      </c>
      <c r="F1145" s="8" t="n">
        <v>270</v>
      </c>
      <c r="G1145" s="8" t="n"/>
      <c r="H1145" s="8" t="n"/>
      <c r="I1145" s="9">
        <f>IFERROR(E1145/F1145,"")</f>
        <v/>
      </c>
      <c r="P1145" t="inlineStr">
        <is>
          <t>LISTED</t>
        </is>
      </c>
      <c r="S1145" t="n">
        <v>33.51184006271721</v>
      </c>
      <c r="T1145" t="n">
        <v>-7.674485387395334</v>
      </c>
      <c r="U1145" s="7" t="n">
        <v>11805</v>
      </c>
      <c r="V1145" t="inlineStr"/>
      <c r="W1145" s="10" t="inlineStr">
        <is>
          <t>https://yakeey.com/fr-ma/achat/biens/46985</t>
        </is>
      </c>
    </row>
    <row r="1146">
      <c r="A1146" s="2" t="inlineStr">
        <is>
          <t>47145</t>
        </is>
      </c>
      <c r="B1146" s="2" t="inlineStr">
        <is>
          <t>TERRAIN</t>
        </is>
      </c>
      <c r="C1146" s="2" t="inlineStr">
        <is>
          <t>Casa Green Town</t>
        </is>
      </c>
      <c r="D1146" s="2" t="inlineStr">
        <is>
          <t>Casablanca</t>
        </is>
      </c>
      <c r="E1146" s="3" t="n">
        <v>5800000</v>
      </c>
      <c r="F1146" s="4" t="n">
        <v>1035</v>
      </c>
      <c r="G1146" s="4" t="n"/>
      <c r="H1146" s="4" t="n"/>
      <c r="I1146" s="5">
        <f>IFERROR(E1146/F1146,"")</f>
        <v/>
      </c>
      <c r="J1146" s="2" t="n"/>
      <c r="K1146" s="2" t="n"/>
      <c r="L1146" s="2" t="n"/>
      <c r="M1146" s="2" t="n"/>
      <c r="N1146" s="2" t="n"/>
      <c r="O1146" s="2" t="n"/>
      <c r="P1146" s="2" t="inlineStr">
        <is>
          <t>LISTED</t>
        </is>
      </c>
      <c r="Q1146" s="2" t="n"/>
      <c r="R1146" s="2" t="n"/>
      <c r="S1146" s="2" t="n">
        <v>33.4825801106891</v>
      </c>
      <c r="T1146" s="2" t="n">
        <v>-7.620063106217811</v>
      </c>
      <c r="U1146" s="3" t="n">
        <v>33367</v>
      </c>
      <c r="V1146" s="2" t="inlineStr"/>
      <c r="W1146" s="6" t="inlineStr">
        <is>
          <t>https://yakeey.com/fr-ma/achat/biens/47145</t>
        </is>
      </c>
    </row>
    <row r="1147">
      <c r="A1147" t="inlineStr">
        <is>
          <t>47354</t>
        </is>
      </c>
      <c r="B1147" t="inlineStr">
        <is>
          <t>TERRAIN</t>
        </is>
      </c>
      <c r="C1147" t="inlineStr">
        <is>
          <t>Casa Nearshore</t>
        </is>
      </c>
      <c r="D1147" t="inlineStr">
        <is>
          <t>Casablanca</t>
        </is>
      </c>
      <c r="E1147" s="7" t="n">
        <v>3900000</v>
      </c>
      <c r="F1147" s="8" t="n">
        <v>501</v>
      </c>
      <c r="G1147" s="8" t="n"/>
      <c r="H1147" s="8" t="n"/>
      <c r="I1147" s="9">
        <f>IFERROR(E1147/F1147,"")</f>
        <v/>
      </c>
      <c r="P1147" t="inlineStr">
        <is>
          <t>LISTED</t>
        </is>
      </c>
      <c r="S1147" t="n">
        <v>33.52552731735241</v>
      </c>
      <c r="T1147" t="n">
        <v>-7.644089670965948</v>
      </c>
      <c r="U1147" s="7" t="n">
        <v>22436</v>
      </c>
      <c r="V1147" t="inlineStr"/>
      <c r="W1147" s="10" t="inlineStr">
        <is>
          <t>https://yakeey.com/fr-ma/achat/biens/47354</t>
        </is>
      </c>
    </row>
    <row r="1148">
      <c r="A1148" s="2" t="inlineStr">
        <is>
          <t>4824</t>
        </is>
      </c>
      <c r="B1148" s="2" t="inlineStr">
        <is>
          <t>TERRAIN</t>
        </is>
      </c>
      <c r="C1148" s="2" t="inlineStr">
        <is>
          <t>Tamaris2</t>
        </is>
      </c>
      <c r="D1148" s="2" t="inlineStr">
        <is>
          <t>Dar Bouazza</t>
        </is>
      </c>
      <c r="E1148" s="3" t="n">
        <v>2350000</v>
      </c>
      <c r="F1148" s="4" t="n">
        <v>373</v>
      </c>
      <c r="G1148" s="4" t="n"/>
      <c r="H1148" s="4" t="n"/>
      <c r="I1148" s="5">
        <f>IFERROR(E1148/F1148,"")</f>
        <v/>
      </c>
      <c r="J1148" s="2" t="n"/>
      <c r="K1148" s="2" t="n"/>
      <c r="L1148" s="2" t="n"/>
      <c r="M1148" s="2" t="n"/>
      <c r="N1148" s="2" t="n"/>
      <c r="O1148" s="2" t="n"/>
      <c r="P1148" s="2" t="inlineStr">
        <is>
          <t>LISTED</t>
        </is>
      </c>
      <c r="Q1148" s="2" t="n"/>
      <c r="R1148" s="2" t="n"/>
      <c r="S1148" s="2" t="n">
        <v>33.5156763237656</v>
      </c>
      <c r="T1148" s="2" t="n">
        <v>-7.812398128579305</v>
      </c>
      <c r="U1148" s="3" t="n">
        <v>13519</v>
      </c>
      <c r="V1148" s="2" t="inlineStr"/>
      <c r="W1148" s="6" t="inlineStr">
        <is>
          <t>https://yakeey.com/fr-ma/achat/biens/4824</t>
        </is>
      </c>
    </row>
    <row r="1149">
      <c r="A1149" t="inlineStr">
        <is>
          <t>48733</t>
        </is>
      </c>
      <c r="B1149" t="inlineStr">
        <is>
          <t>TERRAIN</t>
        </is>
      </c>
      <c r="C1149" t="inlineStr">
        <is>
          <t>Bouskoura</t>
        </is>
      </c>
      <c r="D1149" t="inlineStr">
        <is>
          <t>Bouskoura</t>
        </is>
      </c>
      <c r="E1149" s="7" t="n">
        <v>1150000</v>
      </c>
      <c r="F1149" s="8" t="n">
        <v>160</v>
      </c>
      <c r="G1149" s="8" t="n"/>
      <c r="H1149" s="8" t="n"/>
      <c r="I1149" s="9">
        <f>IFERROR(E1149/F1149,"")</f>
        <v/>
      </c>
      <c r="P1149" t="inlineStr">
        <is>
          <t>LISTED</t>
        </is>
      </c>
      <c r="S1149" t="n">
        <v>33.47658639448074</v>
      </c>
      <c r="T1149" t="n">
        <v>-7.660071820504745</v>
      </c>
      <c r="U1149" s="7" t="n">
        <v>6616</v>
      </c>
      <c r="V1149" t="inlineStr"/>
      <c r="W1149" s="10" t="inlineStr">
        <is>
          <t>https://yakeey.com/fr-ma/achat/biens/48733</t>
        </is>
      </c>
    </row>
    <row r="1150">
      <c r="A1150" s="2" t="inlineStr">
        <is>
          <t>49311</t>
        </is>
      </c>
      <c r="B1150" s="2" t="inlineStr">
        <is>
          <t>TERRAIN</t>
        </is>
      </c>
      <c r="C1150" s="2" t="inlineStr">
        <is>
          <t>Sindibad</t>
        </is>
      </c>
      <c r="D1150" s="2" t="inlineStr">
        <is>
          <t>Casablanca</t>
        </is>
      </c>
      <c r="E1150" s="3" t="n">
        <v>13769000</v>
      </c>
      <c r="F1150" s="4" t="n">
        <v>1967</v>
      </c>
      <c r="G1150" s="4" t="n"/>
      <c r="H1150" s="4" t="n"/>
      <c r="I1150" s="5">
        <f>IFERROR(E1150/F1150,"")</f>
        <v/>
      </c>
      <c r="J1150" s="2" t="n"/>
      <c r="K1150" s="2" t="n"/>
      <c r="L1150" s="2" t="n"/>
      <c r="M1150" s="2" t="n"/>
      <c r="N1150" s="2" t="n"/>
      <c r="O1150" s="2" t="n"/>
      <c r="P1150" s="2" t="inlineStr">
        <is>
          <t>LISTED</t>
        </is>
      </c>
      <c r="Q1150" s="2" t="n"/>
      <c r="R1150" s="2" t="n"/>
      <c r="S1150" s="2" t="n">
        <v>33.57823398761874</v>
      </c>
      <c r="T1150" s="2" t="n">
        <v>-7.674025066062048</v>
      </c>
      <c r="U1150" s="3" t="n">
        <v>79213</v>
      </c>
      <c r="V1150" s="2" t="inlineStr"/>
      <c r="W1150" s="6" t="inlineStr">
        <is>
          <t>https://yakeey.com/fr-ma/achat/biens/49311</t>
        </is>
      </c>
    </row>
    <row r="1151">
      <c r="A1151" t="inlineStr">
        <is>
          <t>55109</t>
        </is>
      </c>
      <c r="B1151" t="inlineStr">
        <is>
          <t>TERRAIN</t>
        </is>
      </c>
      <c r="C1151" t="inlineStr">
        <is>
          <t>Californie</t>
        </is>
      </c>
      <c r="D1151" t="inlineStr">
        <is>
          <t>Casablanca</t>
        </is>
      </c>
      <c r="E1151" s="7" t="n">
        <v>27750000</v>
      </c>
      <c r="F1151" s="8" t="n">
        <v>1234</v>
      </c>
      <c r="G1151" s="8" t="n"/>
      <c r="H1151" s="8" t="n"/>
      <c r="I1151" s="9">
        <f>IFERROR(E1151/F1151,"")</f>
        <v/>
      </c>
      <c r="P1151" t="inlineStr">
        <is>
          <t>LISTED</t>
        </is>
      </c>
      <c r="S1151" t="n">
        <v>33.5436664226597</v>
      </c>
      <c r="T1151" t="n">
        <v>-7.630088734986463</v>
      </c>
      <c r="U1151" s="7" t="n">
        <v>159647</v>
      </c>
      <c r="V1151" t="inlineStr"/>
      <c r="W1151" s="10" t="inlineStr">
        <is>
          <t>https://yakeey.com/fr-ma/achat/biens/55109</t>
        </is>
      </c>
    </row>
    <row r="1152">
      <c r="A1152" s="2" t="inlineStr">
        <is>
          <t>55130</t>
        </is>
      </c>
      <c r="B1152" s="2" t="inlineStr">
        <is>
          <t>TERRAIN</t>
        </is>
      </c>
      <c r="C1152" s="2" t="inlineStr">
        <is>
          <t>Anfa Superieur</t>
        </is>
      </c>
      <c r="D1152" s="2" t="inlineStr">
        <is>
          <t>Casablanca</t>
        </is>
      </c>
      <c r="E1152" s="3" t="n">
        <v>49000000</v>
      </c>
      <c r="F1152" s="4" t="n">
        <v>2254</v>
      </c>
      <c r="G1152" s="4" t="n"/>
      <c r="H1152" s="4" t="n"/>
      <c r="I1152" s="5">
        <f>IFERROR(E1152/F1152,"")</f>
        <v/>
      </c>
      <c r="J1152" s="2" t="n"/>
      <c r="K1152" s="2" t="n"/>
      <c r="L1152" s="2" t="n"/>
      <c r="M1152" s="2" t="n"/>
      <c r="N1152" s="2" t="n"/>
      <c r="O1152" s="2" t="n"/>
      <c r="P1152" s="2" t="inlineStr">
        <is>
          <t>LISTED</t>
        </is>
      </c>
      <c r="Q1152" s="2" t="n"/>
      <c r="R1152" s="2" t="n"/>
      <c r="S1152" s="2" t="n">
        <v>33.5856908162118</v>
      </c>
      <c r="T1152" s="2" t="n">
        <v>-7.67186036675253</v>
      </c>
      <c r="U1152" s="3" t="n">
        <v>281899</v>
      </c>
      <c r="V1152" s="2" t="inlineStr"/>
      <c r="W1152" s="6" t="inlineStr">
        <is>
          <t>https://yakeey.com/fr-ma/achat/biens/55130</t>
        </is>
      </c>
    </row>
    <row r="1153">
      <c r="A1153" t="inlineStr">
        <is>
          <t>62157</t>
        </is>
      </c>
      <c r="B1153" t="inlineStr">
        <is>
          <t>TERRAIN</t>
        </is>
      </c>
      <c r="C1153" t="inlineStr">
        <is>
          <t>Longchamps</t>
        </is>
      </c>
      <c r="D1153" t="inlineStr">
        <is>
          <t>Casablanca</t>
        </is>
      </c>
      <c r="E1153" s="7" t="n">
        <v>6700000</v>
      </c>
      <c r="F1153" s="8" t="n">
        <v>479</v>
      </c>
      <c r="G1153" s="8" t="n"/>
      <c r="H1153" s="8" t="n"/>
      <c r="I1153" s="9">
        <f>IFERROR(E1153/F1153,"")</f>
        <v/>
      </c>
      <c r="P1153" t="inlineStr">
        <is>
          <t>LISTED</t>
        </is>
      </c>
      <c r="S1153" t="n">
        <v>33.57391887726445</v>
      </c>
      <c r="T1153" t="n">
        <v>-7.669956526778791</v>
      </c>
      <c r="U1153" s="7" t="n">
        <v>38545</v>
      </c>
      <c r="V1153" t="inlineStr"/>
      <c r="W1153" s="10" t="inlineStr">
        <is>
          <t>https://yakeey.com/fr-ma/achat/biens/62157</t>
        </is>
      </c>
    </row>
    <row r="1154">
      <c r="A1154" s="2" t="inlineStr">
        <is>
          <t>64887</t>
        </is>
      </c>
      <c r="B1154" s="2" t="inlineStr">
        <is>
          <t>TERRAIN</t>
        </is>
      </c>
      <c r="C1154" s="2" t="inlineStr">
        <is>
          <t>Bouskoura</t>
        </is>
      </c>
      <c r="D1154" s="2" t="inlineStr">
        <is>
          <t>Bouskoura</t>
        </is>
      </c>
      <c r="E1154" s="3" t="n">
        <v>1040000</v>
      </c>
      <c r="F1154" s="4" t="n">
        <v>160</v>
      </c>
      <c r="G1154" s="4" t="n"/>
      <c r="H1154" s="4" t="n"/>
      <c r="I1154" s="5">
        <f>IFERROR(E1154/F1154,"")</f>
        <v/>
      </c>
      <c r="J1154" s="2" t="n"/>
      <c r="K1154" s="2" t="n"/>
      <c r="L1154" s="2" t="n"/>
      <c r="M1154" s="2" t="n"/>
      <c r="N1154" s="2" t="n"/>
      <c r="O1154" s="2" t="n"/>
      <c r="P1154" s="2" t="inlineStr">
        <is>
          <t>LISTED</t>
        </is>
      </c>
      <c r="Q1154" s="2" t="n"/>
      <c r="R1154" s="2" t="n"/>
      <c r="S1154" s="2" t="n">
        <v>33.46324349952922</v>
      </c>
      <c r="T1154" s="2" t="n">
        <v>-7.663060181852709</v>
      </c>
      <c r="U1154" s="3" t="n">
        <v>5983</v>
      </c>
      <c r="V1154" s="2" t="inlineStr"/>
      <c r="W1154" s="6" t="inlineStr">
        <is>
          <t>https://yakeey.com/fr-ma/achat/biens/64887</t>
        </is>
      </c>
    </row>
    <row r="1155">
      <c r="A1155" t="inlineStr">
        <is>
          <t>76148</t>
        </is>
      </c>
      <c r="B1155" t="inlineStr">
        <is>
          <t>TERRAIN</t>
        </is>
      </c>
      <c r="C1155" t="inlineStr">
        <is>
          <t>Ain Sebaa</t>
        </is>
      </c>
      <c r="D1155" t="inlineStr">
        <is>
          <t>Casablanca</t>
        </is>
      </c>
      <c r="E1155" s="7" t="n">
        <v>9282000</v>
      </c>
      <c r="F1155" s="8" t="n">
        <v>476</v>
      </c>
      <c r="G1155" s="8" t="n"/>
      <c r="H1155" s="8" t="n"/>
      <c r="I1155" s="9">
        <f>IFERROR(E1155/F1155,"")</f>
        <v/>
      </c>
      <c r="P1155" t="inlineStr">
        <is>
          <t>LISTED</t>
        </is>
      </c>
      <c r="S1155" t="n">
        <v>33.6124245618952</v>
      </c>
      <c r="T1155" t="n">
        <v>-7.528969655026852</v>
      </c>
      <c r="U1155" s="7" t="n">
        <v>53399</v>
      </c>
      <c r="V1155" t="inlineStr"/>
      <c r="W1155" s="10" t="inlineStr">
        <is>
          <t>https://yakeey.com/fr-ma/achat/biens/76148</t>
        </is>
      </c>
    </row>
    <row r="1156">
      <c r="A1156" s="2" t="inlineStr">
        <is>
          <t>8665</t>
        </is>
      </c>
      <c r="B1156" s="2" t="inlineStr">
        <is>
          <t>TERRAIN</t>
        </is>
      </c>
      <c r="C1156" s="2" t="inlineStr">
        <is>
          <t>Sidi Abderrahman</t>
        </is>
      </c>
      <c r="D1156" s="2" t="inlineStr">
        <is>
          <t>Casablanca</t>
        </is>
      </c>
      <c r="E1156" s="3" t="n">
        <v>23345000</v>
      </c>
      <c r="F1156" s="4" t="n">
        <v>2122</v>
      </c>
      <c r="G1156" s="4" t="n"/>
      <c r="H1156" s="4" t="n"/>
      <c r="I1156" s="5">
        <f>IFERROR(E1156/F1156,"")</f>
        <v/>
      </c>
      <c r="J1156" s="2" t="n"/>
      <c r="K1156" s="2" t="n"/>
      <c r="L1156" s="2" t="n"/>
      <c r="M1156" s="2" t="n"/>
      <c r="N1156" s="2" t="n"/>
      <c r="O1156" s="2" t="n"/>
      <c r="P1156" s="2" t="inlineStr">
        <is>
          <t>LISTED</t>
        </is>
      </c>
      <c r="Q1156" s="2" t="n"/>
      <c r="R1156" s="2" t="n"/>
      <c r="S1156" s="2" t="n">
        <v>33.57024934520877</v>
      </c>
      <c r="T1156" s="2" t="n">
        <v>-7.702716110110769</v>
      </c>
      <c r="U1156" s="3" t="n">
        <v>134305</v>
      </c>
      <c r="V1156" s="2" t="inlineStr"/>
      <c r="W1156" s="6" t="inlineStr">
        <is>
          <t>https://yakeey.com/fr-ma/achat/biens/8665</t>
        </is>
      </c>
    </row>
    <row r="1157">
      <c r="A1157" t="inlineStr">
        <is>
          <t>8947</t>
        </is>
      </c>
      <c r="B1157" t="inlineStr">
        <is>
          <t>TERRAIN</t>
        </is>
      </c>
      <c r="C1157" t="inlineStr">
        <is>
          <t>Ain Diab Extension 2</t>
        </is>
      </c>
      <c r="D1157" t="inlineStr">
        <is>
          <t>Casablanca</t>
        </is>
      </c>
      <c r="E1157" s="7" t="n">
        <v>18800000</v>
      </c>
      <c r="F1157" s="8" t="n">
        <v>7070</v>
      </c>
      <c r="G1157" s="8" t="n"/>
      <c r="H1157" s="8" t="n"/>
      <c r="I1157" s="9">
        <f>IFERROR(E1157/F1157,"")</f>
        <v/>
      </c>
      <c r="P1157" t="inlineStr">
        <is>
          <t>LISTED</t>
        </is>
      </c>
      <c r="S1157" t="n">
        <v>33.55383349631099</v>
      </c>
      <c r="T1157" t="n">
        <v>-7.716958028940348</v>
      </c>
      <c r="U1157" s="7" t="n">
        <v>108157</v>
      </c>
      <c r="V1157" t="inlineStr"/>
      <c r="W1157" s="10" t="inlineStr">
        <is>
          <t>https://yakeey.com/fr-ma/achat/biens/8947</t>
        </is>
      </c>
    </row>
    <row r="1158">
      <c r="A1158" s="2" t="inlineStr">
        <is>
          <t>98932</t>
        </is>
      </c>
      <c r="B1158" s="2" t="inlineStr">
        <is>
          <t>TERRAIN</t>
        </is>
      </c>
      <c r="C1158" s="2" t="inlineStr">
        <is>
          <t>Ain Diab Extension 2</t>
        </is>
      </c>
      <c r="D1158" s="2" t="inlineStr">
        <is>
          <t>Casablanca</t>
        </is>
      </c>
      <c r="E1158" s="3" t="n">
        <v>9500000</v>
      </c>
      <c r="F1158" s="4" t="n">
        <v>1003</v>
      </c>
      <c r="G1158" s="4" t="n"/>
      <c r="H1158" s="4" t="n"/>
      <c r="I1158" s="5">
        <f>IFERROR(E1158/F1158,"")</f>
        <v/>
      </c>
      <c r="J1158" s="2" t="n"/>
      <c r="K1158" s="2" t="n"/>
      <c r="L1158" s="2" t="n"/>
      <c r="M1158" s="2" t="n"/>
      <c r="N1158" s="2" t="n"/>
      <c r="O1158" s="2" t="n"/>
      <c r="P1158" s="2" t="inlineStr">
        <is>
          <t>LISTED</t>
        </is>
      </c>
      <c r="Q1158" s="2" t="n"/>
      <c r="R1158" s="2" t="n"/>
      <c r="S1158" s="2" t="n">
        <v>33.56104022191812</v>
      </c>
      <c r="T1158" s="2" t="n">
        <v>-7.708934399316032</v>
      </c>
      <c r="U1158" s="3" t="n">
        <v>54654</v>
      </c>
      <c r="V1158" s="2" t="inlineStr"/>
      <c r="W1158" s="6" t="inlineStr">
        <is>
          <t>https://yakeey.com/fr-ma/achat/biens/98932</t>
        </is>
      </c>
    </row>
    <row r="1159">
      <c r="A1159" t="inlineStr">
        <is>
          <t>143593</t>
        </is>
      </c>
      <c r="B1159" t="inlineStr">
        <is>
          <t>TRIPLEX</t>
        </is>
      </c>
      <c r="C1159" t="inlineStr">
        <is>
          <t>Ain Diab</t>
        </is>
      </c>
      <c r="D1159" t="inlineStr">
        <is>
          <t>Casablanca</t>
        </is>
      </c>
      <c r="E1159" s="7" t="n">
        <v>6950000</v>
      </c>
      <c r="F1159" s="8" t="n">
        <v>370</v>
      </c>
      <c r="G1159" s="8" t="n"/>
      <c r="H1159" s="8" t="n"/>
      <c r="I1159" s="9">
        <f>IFERROR(E1159/F1159,"")</f>
        <v/>
      </c>
      <c r="J1159" t="n">
        <v>3</v>
      </c>
      <c r="K1159" t="n">
        <v>2</v>
      </c>
      <c r="P1159" t="inlineStr">
        <is>
          <t>LISTED</t>
        </is>
      </c>
      <c r="S1159" t="n">
        <v>33.57217068555376</v>
      </c>
      <c r="T1159" t="n">
        <v>-7.697171892894276</v>
      </c>
      <c r="U1159" s="7" t="n">
        <v>39983</v>
      </c>
      <c r="V1159" t="inlineStr"/>
      <c r="W1159" s="10" t="inlineStr">
        <is>
          <t>https://yakeey.com/fr-ma/achat/biens/143593</t>
        </is>
      </c>
    </row>
    <row r="1160">
      <c r="A1160" s="2" t="inlineStr">
        <is>
          <t>146044</t>
        </is>
      </c>
      <c r="B1160" s="2" t="inlineStr">
        <is>
          <t>TRIPLEX</t>
        </is>
      </c>
      <c r="C1160" s="2" t="inlineStr">
        <is>
          <t>Alsace Loraine</t>
        </is>
      </c>
      <c r="D1160" s="2" t="inlineStr">
        <is>
          <t>Casablanca</t>
        </is>
      </c>
      <c r="E1160" s="3" t="n">
        <v>15000000</v>
      </c>
      <c r="F1160" s="4" t="n">
        <v>232</v>
      </c>
      <c r="G1160" s="4" t="n"/>
      <c r="H1160" s="4" t="n"/>
      <c r="I1160" s="5">
        <f>IFERROR(E1160/F1160,"")</f>
        <v/>
      </c>
      <c r="J1160" s="2" t="n">
        <v>20</v>
      </c>
      <c r="K1160" s="2" t="n">
        <v>5</v>
      </c>
      <c r="L1160" s="2" t="n"/>
      <c r="M1160" s="2" t="n"/>
      <c r="N1160" s="2" t="n"/>
      <c r="O1160" s="2" t="n"/>
      <c r="P1160" s="2" t="inlineStr">
        <is>
          <t>LISTED</t>
        </is>
      </c>
      <c r="Q1160" s="2" t="n"/>
      <c r="R1160" s="2" t="n"/>
      <c r="S1160" s="2" t="n">
        <v>33.58885482862131</v>
      </c>
      <c r="T1160" s="2" t="n">
        <v>-7.620363506616193</v>
      </c>
      <c r="U1160" s="3" t="n">
        <v>86295</v>
      </c>
      <c r="V1160" s="2" t="inlineStr"/>
      <c r="W1160" s="6" t="inlineStr">
        <is>
          <t>https://yakeey.com/fr-ma/achat/biens/146044</t>
        </is>
      </c>
    </row>
    <row r="1161">
      <c r="A1161" t="inlineStr">
        <is>
          <t>23162</t>
        </is>
      </c>
      <c r="B1161" t="inlineStr">
        <is>
          <t>TRIPLEX</t>
        </is>
      </c>
      <c r="C1161" t="inlineStr">
        <is>
          <t>Hopitaux</t>
        </is>
      </c>
      <c r="D1161" t="inlineStr">
        <is>
          <t>Casablanca</t>
        </is>
      </c>
      <c r="E1161" s="7" t="n">
        <v>7800000</v>
      </c>
      <c r="F1161" s="8" t="n">
        <v>704</v>
      </c>
      <c r="G1161" s="8" t="n"/>
      <c r="H1161" s="8" t="n"/>
      <c r="I1161" s="9">
        <f>IFERROR(E1161/F1161,"")</f>
        <v/>
      </c>
      <c r="J1161" t="n">
        <v>7</v>
      </c>
      <c r="K1161" t="n">
        <v>7</v>
      </c>
      <c r="P1161" t="inlineStr">
        <is>
          <t>LISTED</t>
        </is>
      </c>
      <c r="S1161" t="n">
        <v>33.58184986360698</v>
      </c>
      <c r="T1161" t="n">
        <v>-7.617598909708841</v>
      </c>
      <c r="U1161" s="7" t="n">
        <v>44873</v>
      </c>
      <c r="V1161" t="inlineStr"/>
      <c r="W1161" s="10" t="inlineStr">
        <is>
          <t>https://yakeey.com/fr-ma/achat/biens/23162</t>
        </is>
      </c>
    </row>
    <row r="1162">
      <c r="A1162" s="2" t="inlineStr">
        <is>
          <t>40333</t>
        </is>
      </c>
      <c r="B1162" s="2" t="inlineStr">
        <is>
          <t>TRIPLEX</t>
        </is>
      </c>
      <c r="C1162" s="2" t="inlineStr">
        <is>
          <t>Maarif</t>
        </is>
      </c>
      <c r="D1162" s="2" t="inlineStr">
        <is>
          <t>Casablanca</t>
        </is>
      </c>
      <c r="E1162" s="3" t="n">
        <v>4000000</v>
      </c>
      <c r="F1162" s="4" t="n">
        <v>148</v>
      </c>
      <c r="G1162" s="4" t="n"/>
      <c r="H1162" s="4" t="n"/>
      <c r="I1162" s="5">
        <f>IFERROR(E1162/F1162,"")</f>
        <v/>
      </c>
      <c r="J1162" s="2" t="n">
        <v>8</v>
      </c>
      <c r="K1162" s="2" t="n">
        <v>8</v>
      </c>
      <c r="L1162" s="2" t="n"/>
      <c r="M1162" s="2" t="n"/>
      <c r="N1162" s="2" t="n"/>
      <c r="O1162" s="2" t="n"/>
      <c r="P1162" s="2" t="inlineStr">
        <is>
          <t>LISTED</t>
        </is>
      </c>
      <c r="Q1162" s="2" t="n"/>
      <c r="R1162" s="2" t="n"/>
      <c r="S1162" s="2" t="n">
        <v>33.58467702992075</v>
      </c>
      <c r="T1162" s="2" t="n">
        <v>-7.638474317762514</v>
      </c>
      <c r="U1162" s="3" t="n">
        <v>23012</v>
      </c>
      <c r="V1162" s="2" t="inlineStr"/>
      <c r="W1162" s="6" t="inlineStr">
        <is>
          <t>https://yakeey.com/fr-ma/achat/biens/40333</t>
        </is>
      </c>
    </row>
    <row r="1163">
      <c r="A1163" t="inlineStr">
        <is>
          <t>57196</t>
        </is>
      </c>
      <c r="B1163" t="inlineStr">
        <is>
          <t>TRIPLEX</t>
        </is>
      </c>
      <c r="C1163" t="inlineStr">
        <is>
          <t>La Gironde</t>
        </is>
      </c>
      <c r="D1163" t="inlineStr">
        <is>
          <t>Casablanca</t>
        </is>
      </c>
      <c r="E1163" s="7" t="n">
        <v>14000000</v>
      </c>
      <c r="F1163" s="8" t="n">
        <v>1221</v>
      </c>
      <c r="G1163" s="8" t="n"/>
      <c r="H1163" s="8" t="n"/>
      <c r="I1163" s="9">
        <f>IFERROR(E1163/F1163,"")</f>
        <v/>
      </c>
      <c r="J1163" t="n">
        <v>9</v>
      </c>
      <c r="K1163" t="n">
        <v>9</v>
      </c>
      <c r="P1163" t="inlineStr">
        <is>
          <t>LISTED</t>
        </is>
      </c>
      <c r="S1163" t="n">
        <v>33.58509589023618</v>
      </c>
      <c r="T1163" t="n">
        <v>-7.600917801209427</v>
      </c>
      <c r="U1163" s="7" t="n">
        <v>80542</v>
      </c>
      <c r="V1163" t="inlineStr"/>
      <c r="W1163" s="10" t="inlineStr">
        <is>
          <t>https://yakeey.com/fr-ma/achat/biens/57196</t>
        </is>
      </c>
    </row>
    <row r="1164">
      <c r="A1164" s="2" t="inlineStr">
        <is>
          <t>71766</t>
        </is>
      </c>
      <c r="B1164" s="2" t="inlineStr">
        <is>
          <t>TRIPLEX</t>
        </is>
      </c>
      <c r="C1164" s="2" t="inlineStr">
        <is>
          <t>Nouaceur</t>
        </is>
      </c>
      <c r="D1164" s="2" t="inlineStr">
        <is>
          <t>Casablanca</t>
        </is>
      </c>
      <c r="E1164" s="3" t="n">
        <v>2700000</v>
      </c>
      <c r="F1164" s="4" t="n">
        <v>350</v>
      </c>
      <c r="G1164" s="4" t="n"/>
      <c r="H1164" s="4" t="n"/>
      <c r="I1164" s="5">
        <f>IFERROR(E1164/F1164,"")</f>
        <v/>
      </c>
      <c r="J1164" s="2" t="n">
        <v>6</v>
      </c>
      <c r="K1164" s="2" t="n">
        <v>6</v>
      </c>
      <c r="L1164" s="2" t="n"/>
      <c r="M1164" s="2" t="n"/>
      <c r="N1164" s="2" t="n"/>
      <c r="O1164" s="2" t="n"/>
      <c r="P1164" s="2" t="inlineStr">
        <is>
          <t>LISTED</t>
        </is>
      </c>
      <c r="Q1164" s="2" t="n"/>
      <c r="R1164" s="2" t="n"/>
      <c r="S1164" s="2" t="n">
        <v>33.38312278401999</v>
      </c>
      <c r="T1164" s="2" t="n">
        <v>-7.547810425600533</v>
      </c>
      <c r="U1164" s="3" t="n">
        <v>15533</v>
      </c>
      <c r="V1164" s="2" t="inlineStr"/>
      <c r="W1164" s="6" t="inlineStr">
        <is>
          <t>https://yakeey.com/fr-ma/achat/biens/71766</t>
        </is>
      </c>
    </row>
    <row r="1165">
      <c r="A1165" t="inlineStr">
        <is>
          <t>72648</t>
        </is>
      </c>
      <c r="B1165" t="inlineStr">
        <is>
          <t>TRIPLEX</t>
        </is>
      </c>
      <c r="C1165" t="inlineStr">
        <is>
          <t>Nouaceur</t>
        </is>
      </c>
      <c r="D1165" t="inlineStr">
        <is>
          <t>Casablanca</t>
        </is>
      </c>
      <c r="E1165" s="7" t="n">
        <v>2800000</v>
      </c>
      <c r="F1165" s="8" t="n">
        <v>303</v>
      </c>
      <c r="G1165" s="8" t="n"/>
      <c r="H1165" s="8" t="n"/>
      <c r="I1165" s="9">
        <f>IFERROR(E1165/F1165,"")</f>
        <v/>
      </c>
      <c r="J1165" t="n">
        <v>4</v>
      </c>
      <c r="K1165" t="n">
        <v>3</v>
      </c>
      <c r="P1165" t="inlineStr">
        <is>
          <t>LISTED</t>
        </is>
      </c>
      <c r="S1165" t="n">
        <v>33.3987976585087</v>
      </c>
      <c r="T1165" t="n">
        <v>-7.564092122523149</v>
      </c>
      <c r="U1165" s="7" t="n">
        <v>16108</v>
      </c>
      <c r="V1165" t="inlineStr"/>
      <c r="W1165" s="10" t="inlineStr">
        <is>
          <t>https://yakeey.com/fr-ma/achat/biens/72648</t>
        </is>
      </c>
    </row>
    <row r="1166">
      <c r="A1166" s="2" t="inlineStr">
        <is>
          <t>88019</t>
        </is>
      </c>
      <c r="B1166" s="2" t="inlineStr">
        <is>
          <t>TRIPLEX</t>
        </is>
      </c>
      <c r="C1166" s="2" t="inlineStr">
        <is>
          <t>Lissasfa</t>
        </is>
      </c>
      <c r="D1166" s="2" t="inlineStr">
        <is>
          <t>Casablanca</t>
        </is>
      </c>
      <c r="E1166" s="3" t="n">
        <v>2900000</v>
      </c>
      <c r="F1166" s="4" t="n">
        <v>236</v>
      </c>
      <c r="G1166" s="4" t="n"/>
      <c r="H1166" s="4" t="n"/>
      <c r="I1166" s="5">
        <f>IFERROR(E1166/F1166,"")</f>
        <v/>
      </c>
      <c r="J1166" s="2" t="n">
        <v>6</v>
      </c>
      <c r="K1166" s="2" t="n">
        <v>6</v>
      </c>
      <c r="L1166" s="2" t="n"/>
      <c r="M1166" s="2" t="n"/>
      <c r="N1166" s="2" t="n"/>
      <c r="O1166" s="2" t="n"/>
      <c r="P1166" s="2" t="inlineStr">
        <is>
          <t>LISTED</t>
        </is>
      </c>
      <c r="Q1166" s="2" t="n"/>
      <c r="R1166" s="2" t="n"/>
      <c r="S1166" s="2" t="n">
        <v>33.53723901586221</v>
      </c>
      <c r="T1166" s="2" t="n">
        <v>-7.668598178950037</v>
      </c>
      <c r="U1166" s="3" t="n">
        <v>16683</v>
      </c>
      <c r="V1166" s="2" t="inlineStr"/>
      <c r="W1166" s="6" t="inlineStr">
        <is>
          <t>https://yakeey.com/fr-ma/achat/biens/88019</t>
        </is>
      </c>
    </row>
    <row r="1167">
      <c r="A1167" t="inlineStr">
        <is>
          <t>154451</t>
        </is>
      </c>
      <c r="B1167" t="inlineStr">
        <is>
          <t>TWINNED_HOUSE</t>
        </is>
      </c>
      <c r="C1167" t="inlineStr">
        <is>
          <t>Ain Borja</t>
        </is>
      </c>
      <c r="D1167" t="inlineStr">
        <is>
          <t>Casablanca</t>
        </is>
      </c>
      <c r="E1167" s="7" t="n">
        <v>3300000</v>
      </c>
      <c r="F1167" s="8" t="n">
        <v>94</v>
      </c>
      <c r="G1167" s="8" t="n"/>
      <c r="H1167" s="8" t="n"/>
      <c r="I1167" s="9">
        <f>IFERROR(E1167/F1167,"")</f>
        <v/>
      </c>
      <c r="J1167" t="n">
        <v>6</v>
      </c>
      <c r="K1167" t="n">
        <v>3</v>
      </c>
      <c r="P1167" t="inlineStr">
        <is>
          <t>LISTED</t>
        </is>
      </c>
      <c r="S1167" t="n">
        <v>33.58514942295051</v>
      </c>
      <c r="T1167" t="n">
        <v>-7.578022702300158</v>
      </c>
      <c r="U1167" s="7" t="n">
        <v>18985</v>
      </c>
      <c r="V1167" t="inlineStr"/>
      <c r="W1167" s="10" t="inlineStr">
        <is>
          <t>https://yakeey.com/fr-ma/achat/biens/154451</t>
        </is>
      </c>
    </row>
    <row r="1168">
      <c r="A1168" s="2" t="inlineStr">
        <is>
          <t>183349</t>
        </is>
      </c>
      <c r="B1168" s="2" t="inlineStr">
        <is>
          <t>TWINNED_HOUSE</t>
        </is>
      </c>
      <c r="C1168" s="2" t="inlineStr">
        <is>
          <t>Derb Sultan</t>
        </is>
      </c>
      <c r="D1168" s="2" t="inlineStr">
        <is>
          <t>Casablanca</t>
        </is>
      </c>
      <c r="E1168" s="3" t="n">
        <v>1230000</v>
      </c>
      <c r="F1168" s="4" t="n">
        <v>76</v>
      </c>
      <c r="G1168" s="4" t="n"/>
      <c r="H1168" s="4" t="n"/>
      <c r="I1168" s="5">
        <f>IFERROR(E1168/F1168,"")</f>
        <v/>
      </c>
      <c r="J1168" s="2" t="n">
        <v>6</v>
      </c>
      <c r="K1168" s="2" t="n">
        <v>2</v>
      </c>
      <c r="L1168" s="2" t="n"/>
      <c r="M1168" s="2" t="n"/>
      <c r="N1168" s="2" t="n"/>
      <c r="O1168" s="2" t="n"/>
      <c r="P1168" s="2" t="inlineStr">
        <is>
          <t>LISTED</t>
        </is>
      </c>
      <c r="Q1168" s="2" t="n"/>
      <c r="R1168" s="2" t="n"/>
      <c r="S1168" s="2" t="n">
        <v>33.57048967464095</v>
      </c>
      <c r="T1168" s="2" t="n">
        <v>-7.60419383617769</v>
      </c>
      <c r="U1168" s="3" t="n">
        <v>7076</v>
      </c>
      <c r="V1168" s="2" t="inlineStr"/>
      <c r="W1168" s="6" t="inlineStr">
        <is>
          <t>https://yakeey.com/fr-ma/achat/biens/183349</t>
        </is>
      </c>
    </row>
    <row r="1169">
      <c r="A1169" t="inlineStr">
        <is>
          <t>188327</t>
        </is>
      </c>
      <c r="B1169" t="inlineStr">
        <is>
          <t>TWINNED_HOUSE</t>
        </is>
      </c>
      <c r="C1169" t="inlineStr">
        <is>
          <t>Oulfa</t>
        </is>
      </c>
      <c r="D1169" t="inlineStr">
        <is>
          <t>Casablanca</t>
        </is>
      </c>
      <c r="E1169" s="7" t="n">
        <v>2500000</v>
      </c>
      <c r="F1169" s="8" t="n">
        <v>69</v>
      </c>
      <c r="G1169" s="8" t="n"/>
      <c r="H1169" s="8" t="n"/>
      <c r="I1169" s="9">
        <f>IFERROR(E1169/F1169,"")</f>
        <v/>
      </c>
      <c r="J1169" t="n">
        <v>3</v>
      </c>
      <c r="K1169" t="n">
        <v>4</v>
      </c>
      <c r="P1169" t="inlineStr">
        <is>
          <t>LISTED</t>
        </is>
      </c>
      <c r="S1169" t="n">
        <v>33.53816009878561</v>
      </c>
      <c r="T1169" t="n">
        <v>-7.677409469721865</v>
      </c>
      <c r="U1169" s="7" t="n">
        <v>14382</v>
      </c>
      <c r="V1169" t="inlineStr"/>
      <c r="W1169" s="10" t="inlineStr">
        <is>
          <t>https://yakeey.com/fr-ma/achat/biens/188327</t>
        </is>
      </c>
    </row>
    <row r="1170">
      <c r="A1170" s="2" t="inlineStr">
        <is>
          <t>100099</t>
        </is>
      </c>
      <c r="B1170" s="2" t="inlineStr">
        <is>
          <t>VILLA</t>
        </is>
      </c>
      <c r="C1170" s="2" t="inlineStr">
        <is>
          <t>Florida - Mandarona</t>
        </is>
      </c>
      <c r="D1170" s="2" t="inlineStr">
        <is>
          <t>Casablanca</t>
        </is>
      </c>
      <c r="E1170" s="3" t="n">
        <v>9750000</v>
      </c>
      <c r="F1170" s="4" t="n">
        <v>895</v>
      </c>
      <c r="G1170" s="4" t="n"/>
      <c r="H1170" s="4" t="n"/>
      <c r="I1170" s="5">
        <f>IFERROR(E1170/F1170,"")</f>
        <v/>
      </c>
      <c r="J1170" s="2" t="n">
        <v>8</v>
      </c>
      <c r="K1170" s="2" t="n">
        <v>8</v>
      </c>
      <c r="L1170" s="2" t="n"/>
      <c r="M1170" s="2" t="n"/>
      <c r="N1170" s="2" t="n"/>
      <c r="O1170" s="2" t="n"/>
      <c r="P1170" s="2" t="inlineStr">
        <is>
          <t>LISTED</t>
        </is>
      </c>
      <c r="Q1170" s="2" t="n"/>
      <c r="R1170" s="2" t="n"/>
      <c r="S1170" s="2" t="n">
        <v>33.53955530440048</v>
      </c>
      <c r="T1170" s="2" t="n">
        <v>-7.647295088300857</v>
      </c>
      <c r="U1170" s="3" t="n">
        <v>56092</v>
      </c>
      <c r="V1170" s="2" t="inlineStr"/>
      <c r="W1170" s="6" t="inlineStr">
        <is>
          <t>https://yakeey.com/fr-ma/achat/biens/100099</t>
        </is>
      </c>
    </row>
    <row r="1171">
      <c r="A1171" t="inlineStr">
        <is>
          <t>102212</t>
        </is>
      </c>
      <c r="B1171" t="inlineStr">
        <is>
          <t>VILLA</t>
        </is>
      </c>
      <c r="C1171" t="inlineStr">
        <is>
          <t>Ain Sebaa</t>
        </is>
      </c>
      <c r="D1171" t="inlineStr">
        <is>
          <t>Casablanca</t>
        </is>
      </c>
      <c r="E1171" s="7" t="n">
        <v>8900000</v>
      </c>
      <c r="F1171" s="8" t="n">
        <v>704</v>
      </c>
      <c r="G1171" s="8" t="n"/>
      <c r="H1171" s="8" t="n"/>
      <c r="I1171" s="9">
        <f>IFERROR(E1171/F1171,"")</f>
        <v/>
      </c>
      <c r="J1171" t="n">
        <v>8</v>
      </c>
      <c r="K1171" t="n">
        <v>7</v>
      </c>
      <c r="P1171" t="inlineStr">
        <is>
          <t>LISTED</t>
        </is>
      </c>
      <c r="S1171" t="n">
        <v>33.62147713166389</v>
      </c>
      <c r="T1171" t="n">
        <v>-7.527061611258987</v>
      </c>
      <c r="U1171" s="7" t="n">
        <v>51202</v>
      </c>
      <c r="V1171" t="inlineStr"/>
      <c r="W1171" s="10" t="inlineStr">
        <is>
          <t>https://yakeey.com/fr-ma/achat/biens/102212</t>
        </is>
      </c>
    </row>
    <row r="1172">
      <c r="A1172" s="2" t="inlineStr">
        <is>
          <t>103384</t>
        </is>
      </c>
      <c r="B1172" s="2" t="inlineStr">
        <is>
          <t>VILLA</t>
        </is>
      </c>
      <c r="C1172" s="2" t="inlineStr">
        <is>
          <t>Longchamps</t>
        </is>
      </c>
      <c r="D1172" s="2" t="inlineStr">
        <is>
          <t>Casablanca</t>
        </is>
      </c>
      <c r="E1172" s="3" t="n">
        <v>10500000</v>
      </c>
      <c r="F1172" s="4" t="n">
        <v>579</v>
      </c>
      <c r="G1172" s="4" t="n"/>
      <c r="H1172" s="4" t="n"/>
      <c r="I1172" s="5">
        <f>IFERROR(E1172/F1172,"")</f>
        <v/>
      </c>
      <c r="J1172" s="2" t="n">
        <v>6</v>
      </c>
      <c r="K1172" s="2" t="n"/>
      <c r="L1172" s="2" t="n"/>
      <c r="M1172" s="2" t="n"/>
      <c r="N1172" s="2" t="n"/>
      <c r="O1172" s="2" t="n"/>
      <c r="P1172" s="2" t="inlineStr">
        <is>
          <t>LISTED</t>
        </is>
      </c>
      <c r="Q1172" s="2" t="n"/>
      <c r="R1172" s="2" t="n"/>
      <c r="S1172" s="2" t="n">
        <v>33.57484122980544</v>
      </c>
      <c r="T1172" s="2" t="n">
        <v>-7.666414020958102</v>
      </c>
      <c r="U1172" s="3" t="n">
        <v>60407</v>
      </c>
      <c r="V1172" s="2" t="inlineStr"/>
      <c r="W1172" s="6" t="inlineStr">
        <is>
          <t>https://yakeey.com/fr-ma/achat/biens/103384</t>
        </is>
      </c>
    </row>
    <row r="1173">
      <c r="A1173" t="inlineStr">
        <is>
          <t>10411</t>
        </is>
      </c>
      <c r="B1173" t="inlineStr">
        <is>
          <t>VILLA</t>
        </is>
      </c>
      <c r="C1173" t="inlineStr">
        <is>
          <t>Laymoune</t>
        </is>
      </c>
      <c r="D1173" t="inlineStr">
        <is>
          <t>Casablanca</t>
        </is>
      </c>
      <c r="E1173" s="7" t="n">
        <v>7150000</v>
      </c>
      <c r="F1173" s="8" t="n">
        <v>300</v>
      </c>
      <c r="G1173" s="8" t="n"/>
      <c r="H1173" s="8" t="n"/>
      <c r="I1173" s="9">
        <f>IFERROR(E1173/F1173,"")</f>
        <v/>
      </c>
      <c r="J1173" t="n">
        <v>4</v>
      </c>
      <c r="K1173" t="n">
        <v>4</v>
      </c>
      <c r="P1173" t="inlineStr">
        <is>
          <t>LISTED</t>
        </is>
      </c>
      <c r="S1173" t="n">
        <v>33.54225705114772</v>
      </c>
      <c r="T1173" t="n">
        <v>-7.668202596129859</v>
      </c>
      <c r="U1173" s="7" t="n">
        <v>41134</v>
      </c>
      <c r="V1173" t="inlineStr"/>
      <c r="W1173" s="10" t="inlineStr">
        <is>
          <t>https://yakeey.com/fr-ma/achat/biens/10411</t>
        </is>
      </c>
    </row>
    <row r="1174">
      <c r="A1174" s="2" t="inlineStr">
        <is>
          <t>104399</t>
        </is>
      </c>
      <c r="B1174" s="2" t="inlineStr">
        <is>
          <t>VILLA</t>
        </is>
      </c>
      <c r="C1174" s="2" t="inlineStr">
        <is>
          <t>Habbous</t>
        </is>
      </c>
      <c r="D1174" s="2" t="inlineStr">
        <is>
          <t>Casablanca</t>
        </is>
      </c>
      <c r="E1174" s="3" t="n">
        <v>8200000</v>
      </c>
      <c r="F1174" s="4" t="n">
        <v>1008</v>
      </c>
      <c r="G1174" s="4" t="n"/>
      <c r="H1174" s="4" t="n"/>
      <c r="I1174" s="5">
        <f>IFERROR(E1174/F1174,"")</f>
        <v/>
      </c>
      <c r="J1174" s="2" t="n">
        <v>7</v>
      </c>
      <c r="K1174" s="2" t="n">
        <v>3</v>
      </c>
      <c r="L1174" s="2" t="n"/>
      <c r="M1174" s="2" t="n"/>
      <c r="N1174" s="2" t="n"/>
      <c r="O1174" s="2" t="n"/>
      <c r="P1174" s="2" t="inlineStr">
        <is>
          <t>LISTED</t>
        </is>
      </c>
      <c r="Q1174" s="2" t="n"/>
      <c r="R1174" s="2" t="n"/>
      <c r="S1174" s="2" t="n">
        <v>33.58192699360143</v>
      </c>
      <c r="T1174" s="2" t="n">
        <v>-7.606168381372902</v>
      </c>
      <c r="U1174" s="3" t="n">
        <v>47175</v>
      </c>
      <c r="V1174" s="2" t="inlineStr"/>
      <c r="W1174" s="6" t="inlineStr">
        <is>
          <t>https://yakeey.com/fr-ma/achat/biens/104399</t>
        </is>
      </c>
    </row>
    <row r="1175">
      <c r="A1175" t="inlineStr">
        <is>
          <t>106323</t>
        </is>
      </c>
      <c r="B1175" t="inlineStr">
        <is>
          <t>VILLA</t>
        </is>
      </c>
      <c r="C1175" t="inlineStr">
        <is>
          <t>Oulfa</t>
        </is>
      </c>
      <c r="D1175" t="inlineStr">
        <is>
          <t>Casablanca</t>
        </is>
      </c>
      <c r="E1175" s="7" t="n">
        <v>4450000</v>
      </c>
      <c r="F1175" s="8" t="n">
        <v>342</v>
      </c>
      <c r="G1175" s="8" t="n"/>
      <c r="H1175" s="8" t="n"/>
      <c r="I1175" s="9">
        <f>IFERROR(E1175/F1175,"")</f>
        <v/>
      </c>
      <c r="J1175" t="n">
        <v>4</v>
      </c>
      <c r="K1175" t="n">
        <v>2</v>
      </c>
      <c r="P1175" t="inlineStr">
        <is>
          <t>LISTED</t>
        </is>
      </c>
      <c r="S1175" t="n">
        <v>33.53883219935919</v>
      </c>
      <c r="T1175" t="n">
        <v>-7.686459595336667</v>
      </c>
      <c r="U1175" s="7" t="n">
        <v>25601</v>
      </c>
      <c r="V1175" t="inlineStr"/>
      <c r="W1175" s="10" t="inlineStr">
        <is>
          <t>https://yakeey.com/fr-ma/achat/biens/106323</t>
        </is>
      </c>
    </row>
    <row r="1176">
      <c r="A1176" s="2" t="inlineStr">
        <is>
          <t>111129</t>
        </is>
      </c>
      <c r="B1176" s="2" t="inlineStr">
        <is>
          <t>VILLA</t>
        </is>
      </c>
      <c r="C1176" s="2" t="inlineStr">
        <is>
          <t>Florida - Mandarona</t>
        </is>
      </c>
      <c r="D1176" s="2" t="inlineStr">
        <is>
          <t>Casablanca</t>
        </is>
      </c>
      <c r="E1176" s="3" t="n">
        <v>6900000</v>
      </c>
      <c r="F1176" s="4" t="n">
        <v>583</v>
      </c>
      <c r="G1176" s="4" t="n"/>
      <c r="H1176" s="4" t="n"/>
      <c r="I1176" s="5">
        <f>IFERROR(E1176/F1176,"")</f>
        <v/>
      </c>
      <c r="J1176" s="2" t="n">
        <v>4</v>
      </c>
      <c r="K1176" s="2" t="n">
        <v>3</v>
      </c>
      <c r="L1176" s="2" t="n"/>
      <c r="M1176" s="2" t="n"/>
      <c r="N1176" s="2" t="n"/>
      <c r="O1176" s="2" t="n"/>
      <c r="P1176" s="2" t="inlineStr">
        <is>
          <t>LISTED</t>
        </is>
      </c>
      <c r="Q1176" s="2" t="n"/>
      <c r="R1176" s="2" t="n"/>
      <c r="S1176" s="2" t="n">
        <v>33.53406126048884</v>
      </c>
      <c r="T1176" s="2" t="n">
        <v>-7.653075757348158</v>
      </c>
      <c r="U1176" s="3" t="n">
        <v>39696</v>
      </c>
      <c r="V1176" s="2" t="inlineStr"/>
      <c r="W1176" s="6" t="inlineStr">
        <is>
          <t>https://yakeey.com/fr-ma/achat/biens/111129</t>
        </is>
      </c>
    </row>
    <row r="1177">
      <c r="A1177" t="inlineStr">
        <is>
          <t>114279</t>
        </is>
      </c>
      <c r="B1177" t="inlineStr">
        <is>
          <t>VILLA</t>
        </is>
      </c>
      <c r="C1177" t="inlineStr">
        <is>
          <t>Oulfa</t>
        </is>
      </c>
      <c r="D1177" t="inlineStr">
        <is>
          <t>Casablanca</t>
        </is>
      </c>
      <c r="E1177" s="7" t="n">
        <v>3000000</v>
      </c>
      <c r="F1177" s="8" t="n">
        <v>344</v>
      </c>
      <c r="G1177" s="8" t="n"/>
      <c r="H1177" s="8" t="n"/>
      <c r="I1177" s="9">
        <f>IFERROR(E1177/F1177,"")</f>
        <v/>
      </c>
      <c r="J1177" t="n">
        <v>4</v>
      </c>
      <c r="K1177" t="n">
        <v>3</v>
      </c>
      <c r="P1177" t="inlineStr">
        <is>
          <t>LISTED</t>
        </is>
      </c>
      <c r="S1177" t="n">
        <v>33.54610838837333</v>
      </c>
      <c r="T1177" t="n">
        <v>-7.683584284818491</v>
      </c>
      <c r="U1177" s="7" t="n">
        <v>17259</v>
      </c>
      <c r="V1177" t="inlineStr"/>
      <c r="W1177" s="10" t="inlineStr">
        <is>
          <t>https://yakeey.com/fr-ma/achat/biens/114279</t>
        </is>
      </c>
    </row>
    <row r="1178">
      <c r="A1178" s="2" t="inlineStr">
        <is>
          <t>117383</t>
        </is>
      </c>
      <c r="B1178" s="2" t="inlineStr">
        <is>
          <t>VILLA</t>
        </is>
      </c>
      <c r="C1178" s="2" t="inlineStr">
        <is>
          <t>Ain Diab</t>
        </is>
      </c>
      <c r="D1178" s="2" t="inlineStr">
        <is>
          <t>Casablanca</t>
        </is>
      </c>
      <c r="E1178" s="3" t="n">
        <v>5000000</v>
      </c>
      <c r="F1178" s="4" t="n">
        <v>224</v>
      </c>
      <c r="G1178" s="4" t="n"/>
      <c r="H1178" s="4" t="n"/>
      <c r="I1178" s="5">
        <f>IFERROR(E1178/F1178,"")</f>
        <v/>
      </c>
      <c r="J1178" s="2" t="n">
        <v>4</v>
      </c>
      <c r="K1178" s="2" t="n">
        <v>2</v>
      </c>
      <c r="L1178" s="2" t="n"/>
      <c r="M1178" s="2" t="n"/>
      <c r="N1178" s="2" t="n"/>
      <c r="O1178" s="2" t="n"/>
      <c r="P1178" s="2" t="inlineStr">
        <is>
          <t>LISTED</t>
        </is>
      </c>
      <c r="Q1178" s="2" t="n"/>
      <c r="R1178" s="2" t="n"/>
      <c r="S1178" s="2" t="n">
        <v>33.57320238955899</v>
      </c>
      <c r="T1178" s="2" t="n">
        <v>-7.688248410900637</v>
      </c>
      <c r="U1178" s="3" t="n">
        <v>28765</v>
      </c>
      <c r="V1178" s="2" t="inlineStr"/>
      <c r="W1178" s="6" t="inlineStr">
        <is>
          <t>https://yakeey.com/fr-ma/achat/biens/117383</t>
        </is>
      </c>
    </row>
    <row r="1179">
      <c r="A1179" t="inlineStr">
        <is>
          <t>117981</t>
        </is>
      </c>
      <c r="B1179" t="inlineStr">
        <is>
          <t>VILLA</t>
        </is>
      </c>
      <c r="C1179" t="inlineStr">
        <is>
          <t>Oulfa</t>
        </is>
      </c>
      <c r="D1179" t="inlineStr">
        <is>
          <t>Casablanca</t>
        </is>
      </c>
      <c r="E1179" s="7" t="n">
        <v>3200000</v>
      </c>
      <c r="F1179" s="8" t="n">
        <v>237</v>
      </c>
      <c r="G1179" s="8" t="n"/>
      <c r="H1179" s="8" t="n"/>
      <c r="I1179" s="9">
        <f>IFERROR(E1179/F1179,"")</f>
        <v/>
      </c>
      <c r="J1179" t="n">
        <v>4</v>
      </c>
      <c r="K1179" t="n">
        <v>2</v>
      </c>
      <c r="P1179" t="inlineStr">
        <is>
          <t>LISTED</t>
        </is>
      </c>
      <c r="S1179" t="n">
        <v>33.53960728764805</v>
      </c>
      <c r="T1179" t="n">
        <v>-7.686734591729461</v>
      </c>
      <c r="U1179" s="7" t="n">
        <v>18409</v>
      </c>
      <c r="V1179" t="inlineStr"/>
      <c r="W1179" s="10" t="inlineStr">
        <is>
          <t>https://yakeey.com/fr-ma/achat/biens/117981</t>
        </is>
      </c>
    </row>
    <row r="1180">
      <c r="A1180" s="2" t="inlineStr">
        <is>
          <t>118006</t>
        </is>
      </c>
      <c r="B1180" s="2" t="inlineStr">
        <is>
          <t>VILLA</t>
        </is>
      </c>
      <c r="C1180" s="2" t="inlineStr">
        <is>
          <t>Oulfa</t>
        </is>
      </c>
      <c r="D1180" s="2" t="inlineStr">
        <is>
          <t>Casablanca</t>
        </is>
      </c>
      <c r="E1180" s="3" t="n">
        <v>4500000</v>
      </c>
      <c r="F1180" s="4" t="n">
        <v>394</v>
      </c>
      <c r="G1180" s="4" t="n"/>
      <c r="H1180" s="4" t="n"/>
      <c r="I1180" s="5">
        <f>IFERROR(E1180/F1180,"")</f>
        <v/>
      </c>
      <c r="J1180" s="2" t="n">
        <v>4</v>
      </c>
      <c r="K1180" s="2" t="n">
        <v>2</v>
      </c>
      <c r="L1180" s="2" t="n"/>
      <c r="M1180" s="2" t="n"/>
      <c r="N1180" s="2" t="n"/>
      <c r="O1180" s="2" t="n"/>
      <c r="P1180" s="2" t="inlineStr">
        <is>
          <t>LISTED</t>
        </is>
      </c>
      <c r="Q1180" s="2" t="n"/>
      <c r="R1180" s="2" t="n"/>
      <c r="S1180" s="2" t="n">
        <v>33.53842969285277</v>
      </c>
      <c r="T1180" s="2" t="n">
        <v>-7.68861157667896</v>
      </c>
      <c r="U1180" s="3" t="n">
        <v>25888</v>
      </c>
      <c r="V1180" s="2" t="inlineStr"/>
      <c r="W1180" s="6" t="inlineStr">
        <is>
          <t>https://yakeey.com/fr-ma/achat/biens/118006</t>
        </is>
      </c>
    </row>
    <row r="1181">
      <c r="A1181" t="inlineStr">
        <is>
          <t>118144</t>
        </is>
      </c>
      <c r="B1181" t="inlineStr">
        <is>
          <t>VILLA</t>
        </is>
      </c>
      <c r="C1181" t="inlineStr">
        <is>
          <t>Oulfa</t>
        </is>
      </c>
      <c r="D1181" t="inlineStr">
        <is>
          <t>Casablanca</t>
        </is>
      </c>
      <c r="E1181" s="7" t="n">
        <v>4200000</v>
      </c>
      <c r="F1181" s="8" t="n">
        <v>325</v>
      </c>
      <c r="G1181" s="8" t="n"/>
      <c r="H1181" s="8" t="n"/>
      <c r="I1181" s="9">
        <f>IFERROR(E1181/F1181,"")</f>
        <v/>
      </c>
      <c r="J1181" t="n">
        <v>4</v>
      </c>
      <c r="K1181" t="n">
        <v>2</v>
      </c>
      <c r="P1181" t="inlineStr">
        <is>
          <t>LISTED</t>
        </is>
      </c>
      <c r="S1181" t="n">
        <v>33.53834539260941</v>
      </c>
      <c r="T1181" t="n">
        <v>-7.686985746608833</v>
      </c>
      <c r="U1181" s="7" t="n">
        <v>24162</v>
      </c>
      <c r="V1181" t="inlineStr"/>
      <c r="W1181" s="10" t="inlineStr">
        <is>
          <t>https://yakeey.com/fr-ma/achat/biens/118144</t>
        </is>
      </c>
    </row>
    <row r="1182">
      <c r="A1182" s="2" t="inlineStr">
        <is>
          <t>12385</t>
        </is>
      </c>
      <c r="B1182" s="2" t="inlineStr">
        <is>
          <t>VILLA</t>
        </is>
      </c>
      <c r="C1182" s="2" t="inlineStr">
        <is>
          <t>Bouskoura</t>
        </is>
      </c>
      <c r="D1182" s="2" t="inlineStr">
        <is>
          <t>Bouskoura</t>
        </is>
      </c>
      <c r="E1182" s="3" t="n">
        <v>5900000</v>
      </c>
      <c r="F1182" s="4" t="n">
        <v>800</v>
      </c>
      <c r="G1182" s="4" t="n"/>
      <c r="H1182" s="4" t="n"/>
      <c r="I1182" s="5">
        <f>IFERROR(E1182/F1182,"")</f>
        <v/>
      </c>
      <c r="J1182" s="2" t="n">
        <v>3</v>
      </c>
      <c r="K1182" s="2" t="n">
        <v>2</v>
      </c>
      <c r="L1182" s="2" t="n"/>
      <c r="M1182" s="2" t="n"/>
      <c r="N1182" s="2" t="n"/>
      <c r="O1182" s="2" t="n"/>
      <c r="P1182" s="2" t="inlineStr">
        <is>
          <t>LISTED</t>
        </is>
      </c>
      <c r="Q1182" s="2" t="n"/>
      <c r="R1182" s="2" t="n"/>
      <c r="S1182" s="2" t="n">
        <v>33.41800309451943</v>
      </c>
      <c r="T1182" s="2" t="n">
        <v>-7.62174589236833</v>
      </c>
      <c r="U1182" s="3" t="n">
        <v>33943</v>
      </c>
      <c r="V1182" s="2" t="inlineStr"/>
      <c r="W1182" s="6" t="inlineStr">
        <is>
          <t>https://yakeey.com/fr-ma/achat/biens/12385</t>
        </is>
      </c>
    </row>
    <row r="1183">
      <c r="A1183" t="inlineStr">
        <is>
          <t>123933</t>
        </is>
      </c>
      <c r="B1183" t="inlineStr">
        <is>
          <t>VILLA</t>
        </is>
      </c>
      <c r="C1183" t="inlineStr">
        <is>
          <t>Sidi Bernoussi</t>
        </is>
      </c>
      <c r="D1183" t="inlineStr">
        <is>
          <t>Casablanca</t>
        </is>
      </c>
      <c r="E1183" s="7" t="n">
        <v>3100000</v>
      </c>
      <c r="F1183" s="8" t="n">
        <v>119</v>
      </c>
      <c r="G1183" s="8" t="n"/>
      <c r="H1183" s="8" t="n"/>
      <c r="I1183" s="9">
        <f>IFERROR(E1183/F1183,"")</f>
        <v/>
      </c>
      <c r="J1183" t="n">
        <v>4</v>
      </c>
      <c r="K1183" t="n">
        <v>3</v>
      </c>
      <c r="P1183" t="inlineStr">
        <is>
          <t>LISTED</t>
        </is>
      </c>
      <c r="S1183" t="n">
        <v>33.61464732814675</v>
      </c>
      <c r="T1183" t="n">
        <v>-7.485207609762527</v>
      </c>
      <c r="U1183" s="7" t="n">
        <v>17834</v>
      </c>
      <c r="V1183" t="inlineStr"/>
      <c r="W1183" s="10" t="inlineStr">
        <is>
          <t>https://yakeey.com/fr-ma/achat/biens/123933</t>
        </is>
      </c>
    </row>
    <row r="1184">
      <c r="A1184" s="2" t="inlineStr">
        <is>
          <t>127189</t>
        </is>
      </c>
      <c r="B1184" s="2" t="inlineStr">
        <is>
          <t>VILLA</t>
        </is>
      </c>
      <c r="C1184" s="2" t="inlineStr">
        <is>
          <t>Polo (Maarif)</t>
        </is>
      </c>
      <c r="D1184" s="2" t="inlineStr">
        <is>
          <t>Casablanca</t>
        </is>
      </c>
      <c r="E1184" s="3" t="n">
        <v>10800000</v>
      </c>
      <c r="F1184" s="4" t="n">
        <v>633</v>
      </c>
      <c r="G1184" s="4" t="n"/>
      <c r="H1184" s="4" t="n"/>
      <c r="I1184" s="5">
        <f>IFERROR(E1184/F1184,"")</f>
        <v/>
      </c>
      <c r="J1184" s="2" t="n">
        <v>4</v>
      </c>
      <c r="K1184" s="2" t="n">
        <v>4</v>
      </c>
      <c r="L1184" s="2" t="n"/>
      <c r="M1184" s="2" t="n"/>
      <c r="N1184" s="2" t="n"/>
      <c r="O1184" s="2" t="n"/>
      <c r="P1184" s="2" t="inlineStr">
        <is>
          <t>LISTED</t>
        </is>
      </c>
      <c r="Q1184" s="2" t="n"/>
      <c r="R1184" s="2" t="n"/>
      <c r="S1184" s="2" t="n">
        <v>33.55740208477377</v>
      </c>
      <c r="T1184" s="2" t="n">
        <v>-7.617928172606232</v>
      </c>
      <c r="U1184" s="3" t="n">
        <v>62133</v>
      </c>
      <c r="V1184" s="2" t="inlineStr"/>
      <c r="W1184" s="6" t="inlineStr">
        <is>
          <t>https://yakeey.com/fr-ma/achat/biens/127189</t>
        </is>
      </c>
    </row>
    <row r="1185">
      <c r="A1185" t="inlineStr">
        <is>
          <t>137912</t>
        </is>
      </c>
      <c r="B1185" t="inlineStr">
        <is>
          <t>VILLA</t>
        </is>
      </c>
      <c r="C1185" t="inlineStr">
        <is>
          <t>Longchamps</t>
        </is>
      </c>
      <c r="D1185" t="inlineStr">
        <is>
          <t>Casablanca</t>
        </is>
      </c>
      <c r="E1185" s="7" t="n">
        <v>3800000</v>
      </c>
      <c r="F1185" s="8" t="n">
        <v>241</v>
      </c>
      <c r="G1185" s="8" t="n"/>
      <c r="H1185" s="8" t="n"/>
      <c r="I1185" s="9">
        <f>IFERROR(E1185/F1185,"")</f>
        <v/>
      </c>
      <c r="J1185" t="n">
        <v>5</v>
      </c>
      <c r="K1185" t="n">
        <v>2</v>
      </c>
      <c r="P1185" t="inlineStr">
        <is>
          <t>LISTED</t>
        </is>
      </c>
      <c r="S1185" t="n">
        <v>33.57378707318099</v>
      </c>
      <c r="T1185" t="n">
        <v>-7.666481969892487</v>
      </c>
      <c r="U1185" s="7" t="n">
        <v>21861</v>
      </c>
      <c r="V1185" t="inlineStr"/>
      <c r="W1185" s="10" t="inlineStr">
        <is>
          <t>https://yakeey.com/fr-ma/achat/biens/137912</t>
        </is>
      </c>
    </row>
    <row r="1186">
      <c r="A1186" s="2" t="inlineStr">
        <is>
          <t>139579</t>
        </is>
      </c>
      <c r="B1186" s="2" t="inlineStr">
        <is>
          <t>VILLA</t>
        </is>
      </c>
      <c r="C1186" s="2" t="inlineStr">
        <is>
          <t>Ain Sebaa</t>
        </is>
      </c>
      <c r="D1186" s="2" t="inlineStr">
        <is>
          <t>Casablanca</t>
        </is>
      </c>
      <c r="E1186" s="3" t="n">
        <v>3530000</v>
      </c>
      <c r="F1186" s="4" t="n">
        <v>324</v>
      </c>
      <c r="G1186" s="4" t="n"/>
      <c r="H1186" s="4" t="n"/>
      <c r="I1186" s="5">
        <f>IFERROR(E1186/F1186,"")</f>
        <v/>
      </c>
      <c r="J1186" s="2" t="n">
        <v>5</v>
      </c>
      <c r="K1186" s="2" t="n">
        <v>3</v>
      </c>
      <c r="L1186" s="2" t="n"/>
      <c r="M1186" s="2" t="n"/>
      <c r="N1186" s="2" t="n"/>
      <c r="O1186" s="2" t="n"/>
      <c r="P1186" s="2" t="inlineStr">
        <is>
          <t>LISTED</t>
        </is>
      </c>
      <c r="Q1186" s="2" t="n"/>
      <c r="R1186" s="2" t="n"/>
      <c r="S1186" s="2" t="n">
        <v>33.61170948919354</v>
      </c>
      <c r="T1186" s="2" t="n">
        <v>-7.526478991917783</v>
      </c>
      <c r="U1186" s="3" t="n">
        <v>20308</v>
      </c>
      <c r="V1186" s="2" t="inlineStr"/>
      <c r="W1186" s="6" t="inlineStr">
        <is>
          <t>https://yakeey.com/fr-ma/achat/biens/139579</t>
        </is>
      </c>
    </row>
    <row r="1187">
      <c r="A1187" t="inlineStr">
        <is>
          <t>140164</t>
        </is>
      </c>
      <c r="B1187" t="inlineStr">
        <is>
          <t>VILLA</t>
        </is>
      </c>
      <c r="C1187" t="inlineStr">
        <is>
          <t>Cil</t>
        </is>
      </c>
      <c r="D1187" t="inlineStr">
        <is>
          <t>Casablanca</t>
        </is>
      </c>
      <c r="E1187" s="7" t="n">
        <v>15000000</v>
      </c>
      <c r="F1187" s="8" t="n">
        <v>433</v>
      </c>
      <c r="G1187" s="8" t="n"/>
      <c r="H1187" s="8" t="n"/>
      <c r="I1187" s="9">
        <f>IFERROR(E1187/F1187,"")</f>
        <v/>
      </c>
      <c r="J1187" t="n">
        <v>5</v>
      </c>
      <c r="K1187" t="n">
        <v>4</v>
      </c>
      <c r="P1187" t="inlineStr">
        <is>
          <t>LISTED</t>
        </is>
      </c>
      <c r="S1187" t="n">
        <v>33.57387750612354</v>
      </c>
      <c r="T1187" t="n">
        <v>-7.65404766716374</v>
      </c>
      <c r="U1187" s="7" t="n">
        <v>86295</v>
      </c>
      <c r="V1187" t="inlineStr"/>
      <c r="W1187" s="10" t="inlineStr">
        <is>
          <t>https://yakeey.com/fr-ma/achat/biens/140164</t>
        </is>
      </c>
    </row>
    <row r="1188">
      <c r="A1188" s="2" t="inlineStr">
        <is>
          <t>140806</t>
        </is>
      </c>
      <c r="B1188" s="2" t="inlineStr">
        <is>
          <t>VILLA</t>
        </is>
      </c>
      <c r="C1188" s="2" t="inlineStr">
        <is>
          <t>Laymoune</t>
        </is>
      </c>
      <c r="D1188" s="2" t="inlineStr">
        <is>
          <t>Casablanca</t>
        </is>
      </c>
      <c r="E1188" s="3" t="n">
        <v>6500000</v>
      </c>
      <c r="F1188" s="4" t="n">
        <v>293</v>
      </c>
      <c r="G1188" s="4" t="n"/>
      <c r="H1188" s="4" t="n"/>
      <c r="I1188" s="5">
        <f>IFERROR(E1188/F1188,"")</f>
        <v/>
      </c>
      <c r="J1188" s="2" t="n">
        <v>4</v>
      </c>
      <c r="K1188" s="2" t="n">
        <v>2</v>
      </c>
      <c r="L1188" s="2" t="n"/>
      <c r="M1188" s="2" t="n"/>
      <c r="N1188" s="2" t="n"/>
      <c r="O1188" s="2" t="n"/>
      <c r="P1188" s="2" t="inlineStr">
        <is>
          <t>LISTED</t>
        </is>
      </c>
      <c r="Q1188" s="2" t="n"/>
      <c r="R1188" s="2" t="n"/>
      <c r="S1188" s="2" t="n">
        <v>33.54471050542101</v>
      </c>
      <c r="T1188" s="2" t="n">
        <v>-7.670080859253993</v>
      </c>
      <c r="U1188" s="3" t="n">
        <v>37394</v>
      </c>
      <c r="V1188" s="2" t="inlineStr"/>
      <c r="W1188" s="6" t="inlineStr">
        <is>
          <t>https://yakeey.com/fr-ma/achat/biens/140806</t>
        </is>
      </c>
    </row>
    <row r="1189">
      <c r="A1189" t="inlineStr">
        <is>
          <t>140808</t>
        </is>
      </c>
      <c r="B1189" t="inlineStr">
        <is>
          <t>VILLA</t>
        </is>
      </c>
      <c r="C1189" t="inlineStr">
        <is>
          <t>Lekrimat</t>
        </is>
      </c>
      <c r="D1189" t="inlineStr">
        <is>
          <t>Casablanca</t>
        </is>
      </c>
      <c r="E1189" s="7" t="n">
        <v>5600000</v>
      </c>
      <c r="F1189" s="8" t="n">
        <v>279</v>
      </c>
      <c r="G1189" s="8" t="n"/>
      <c r="H1189" s="8" t="n"/>
      <c r="I1189" s="9">
        <f>IFERROR(E1189/F1189,"")</f>
        <v/>
      </c>
      <c r="J1189" t="n">
        <v>4</v>
      </c>
      <c r="K1189" t="n">
        <v>4</v>
      </c>
      <c r="P1189" t="inlineStr">
        <is>
          <t>LISTED</t>
        </is>
      </c>
      <c r="S1189" t="n">
        <v>33.54644726366897</v>
      </c>
      <c r="T1189" t="n">
        <v>-7.607160372198574</v>
      </c>
      <c r="U1189" s="7" t="n">
        <v>32217</v>
      </c>
      <c r="V1189" t="inlineStr"/>
      <c r="W1189" s="10" t="inlineStr">
        <is>
          <t>https://yakeey.com/fr-ma/achat/biens/140808</t>
        </is>
      </c>
    </row>
    <row r="1190">
      <c r="A1190" s="2" t="inlineStr">
        <is>
          <t>144046</t>
        </is>
      </c>
      <c r="B1190" s="2" t="inlineStr">
        <is>
          <t>VILLA</t>
        </is>
      </c>
      <c r="C1190" s="2" t="inlineStr">
        <is>
          <t>Al Osra</t>
        </is>
      </c>
      <c r="D1190" s="2" t="inlineStr">
        <is>
          <t>Casablanca</t>
        </is>
      </c>
      <c r="E1190" s="3" t="n">
        <v>6950000</v>
      </c>
      <c r="F1190" s="4" t="n">
        <v>323</v>
      </c>
      <c r="G1190" s="4" t="n"/>
      <c r="H1190" s="4" t="n"/>
      <c r="I1190" s="5">
        <f>IFERROR(E1190/F1190,"")</f>
        <v/>
      </c>
      <c r="J1190" s="2" t="n">
        <v>6</v>
      </c>
      <c r="K1190" s="2" t="n">
        <v>2</v>
      </c>
      <c r="L1190" s="2" t="n"/>
      <c r="M1190" s="2" t="n"/>
      <c r="N1190" s="2" t="n"/>
      <c r="O1190" s="2" t="n"/>
      <c r="P1190" s="2" t="inlineStr">
        <is>
          <t>LISTED</t>
        </is>
      </c>
      <c r="Q1190" s="2" t="n"/>
      <c r="R1190" s="2" t="n"/>
      <c r="S1190" s="2" t="n">
        <v>33.53322945875782</v>
      </c>
      <c r="T1190" s="2" t="n">
        <v>-7.584671254701052</v>
      </c>
      <c r="U1190" s="3" t="n">
        <v>39983</v>
      </c>
      <c r="V1190" s="2" t="inlineStr"/>
      <c r="W1190" s="6" t="inlineStr">
        <is>
          <t>https://yakeey.com/fr-ma/achat/biens/144046</t>
        </is>
      </c>
    </row>
    <row r="1191">
      <c r="A1191" t="inlineStr">
        <is>
          <t>145283</t>
        </is>
      </c>
      <c r="B1191" t="inlineStr">
        <is>
          <t>VILLA</t>
        </is>
      </c>
      <c r="C1191" t="inlineStr">
        <is>
          <t>Bourgogne (Anfa)</t>
        </is>
      </c>
      <c r="D1191" t="inlineStr">
        <is>
          <t>Casablanca</t>
        </is>
      </c>
      <c r="E1191" s="7" t="n">
        <v>12250000</v>
      </c>
      <c r="F1191" s="8" t="n">
        <v>253</v>
      </c>
      <c r="G1191" s="8" t="n"/>
      <c r="H1191" s="8" t="n"/>
      <c r="I1191" s="9">
        <f>IFERROR(E1191/F1191,"")</f>
        <v/>
      </c>
      <c r="J1191" t="n">
        <v>3</v>
      </c>
      <c r="K1191" t="n">
        <v>2</v>
      </c>
      <c r="P1191" t="inlineStr">
        <is>
          <t>LISTED</t>
        </is>
      </c>
      <c r="S1191" t="n">
        <v>33.60164067644035</v>
      </c>
      <c r="T1191" t="n">
        <v>-7.633691722472848</v>
      </c>
      <c r="U1191" s="7" t="n">
        <v>70474</v>
      </c>
      <c r="V1191" t="inlineStr"/>
      <c r="W1191" s="10" t="inlineStr">
        <is>
          <t>https://yakeey.com/fr-ma/achat/biens/145283</t>
        </is>
      </c>
    </row>
    <row r="1192">
      <c r="A1192" s="2" t="inlineStr">
        <is>
          <t>146361</t>
        </is>
      </c>
      <c r="B1192" s="2" t="inlineStr">
        <is>
          <t>VILLA</t>
        </is>
      </c>
      <c r="C1192" s="2" t="inlineStr">
        <is>
          <t>Gauthier</t>
        </is>
      </c>
      <c r="D1192" s="2" t="inlineStr">
        <is>
          <t>Casablanca</t>
        </is>
      </c>
      <c r="E1192" s="3" t="n">
        <v>7500000</v>
      </c>
      <c r="F1192" s="4" t="n">
        <v>152</v>
      </c>
      <c r="G1192" s="4" t="n"/>
      <c r="H1192" s="4" t="n"/>
      <c r="I1192" s="5">
        <f>IFERROR(E1192/F1192,"")</f>
        <v/>
      </c>
      <c r="J1192" s="2" t="n">
        <v>4</v>
      </c>
      <c r="K1192" s="2" t="n">
        <v>3</v>
      </c>
      <c r="L1192" s="2" t="n"/>
      <c r="M1192" s="2" t="n"/>
      <c r="N1192" s="2" t="n"/>
      <c r="O1192" s="2" t="n"/>
      <c r="P1192" s="2" t="inlineStr">
        <is>
          <t>LISTED</t>
        </is>
      </c>
      <c r="Q1192" s="2" t="n"/>
      <c r="R1192" s="2" t="n"/>
      <c r="S1192" s="2" t="n">
        <v>33.58977218411492</v>
      </c>
      <c r="T1192" s="2" t="n">
        <v>-7.629160015495087</v>
      </c>
      <c r="U1192" s="3" t="n">
        <v>43147</v>
      </c>
      <c r="V1192" s="2" t="inlineStr"/>
      <c r="W1192" s="6" t="inlineStr">
        <is>
          <t>https://yakeey.com/fr-ma/achat/biens/146361</t>
        </is>
      </c>
    </row>
    <row r="1193">
      <c r="A1193" t="inlineStr">
        <is>
          <t>150070</t>
        </is>
      </c>
      <c r="B1193" t="inlineStr">
        <is>
          <t>VILLA</t>
        </is>
      </c>
      <c r="C1193" t="inlineStr">
        <is>
          <t>Ain Diab Extension 2</t>
        </is>
      </c>
      <c r="D1193" t="inlineStr">
        <is>
          <t>Casablanca</t>
        </is>
      </c>
      <c r="E1193" s="7" t="n">
        <v>5300000</v>
      </c>
      <c r="F1193" s="8" t="n">
        <v>281</v>
      </c>
      <c r="G1193" s="8" t="n"/>
      <c r="H1193" s="8" t="n"/>
      <c r="I1193" s="9">
        <f>IFERROR(E1193/F1193,"")</f>
        <v/>
      </c>
      <c r="J1193" t="n">
        <v>4</v>
      </c>
      <c r="K1193" t="n">
        <v>3</v>
      </c>
      <c r="P1193" t="inlineStr">
        <is>
          <t>LISTED</t>
        </is>
      </c>
      <c r="S1193" t="n">
        <v>33.5369881767565</v>
      </c>
      <c r="T1193" t="n">
        <v>-7.747546157293318</v>
      </c>
      <c r="U1193" s="7" t="n">
        <v>30491</v>
      </c>
      <c r="V1193" t="inlineStr"/>
      <c r="W1193" s="10" t="inlineStr">
        <is>
          <t>https://yakeey.com/fr-ma/achat/biens/150070</t>
        </is>
      </c>
    </row>
    <row r="1194">
      <c r="A1194" s="2" t="inlineStr">
        <is>
          <t>154769</t>
        </is>
      </c>
      <c r="B1194" s="2" t="inlineStr">
        <is>
          <t>VILLA</t>
        </is>
      </c>
      <c r="C1194" s="2" t="inlineStr">
        <is>
          <t>Habbous</t>
        </is>
      </c>
      <c r="D1194" s="2" t="inlineStr">
        <is>
          <t>Casablanca</t>
        </is>
      </c>
      <c r="E1194" s="3" t="n">
        <v>8640000</v>
      </c>
      <c r="F1194" s="4" t="n">
        <v>480</v>
      </c>
      <c r="G1194" s="4" t="n"/>
      <c r="H1194" s="4" t="n"/>
      <c r="I1194" s="5">
        <f>IFERROR(E1194/F1194,"")</f>
        <v/>
      </c>
      <c r="J1194" s="2" t="n">
        <v>5</v>
      </c>
      <c r="K1194" s="2" t="n">
        <v>2</v>
      </c>
      <c r="L1194" s="2" t="n"/>
      <c r="M1194" s="2" t="n"/>
      <c r="N1194" s="2" t="n"/>
      <c r="O1194" s="2" t="n"/>
      <c r="P1194" s="2" t="inlineStr">
        <is>
          <t>LISTED</t>
        </is>
      </c>
      <c r="Q1194" s="2" t="n"/>
      <c r="R1194" s="2" t="n"/>
      <c r="S1194" s="2" t="n">
        <v>33.5784011995773</v>
      </c>
      <c r="T1194" s="2" t="n">
        <v>-7.609504107439293</v>
      </c>
      <c r="U1194" s="3" t="n">
        <v>49706</v>
      </c>
      <c r="V1194" s="2" t="inlineStr"/>
      <c r="W1194" s="6" t="inlineStr">
        <is>
          <t>https://yakeey.com/fr-ma/achat/biens/154769</t>
        </is>
      </c>
    </row>
    <row r="1195">
      <c r="A1195" t="inlineStr">
        <is>
          <t>155580</t>
        </is>
      </c>
      <c r="B1195" t="inlineStr">
        <is>
          <t>VILLA</t>
        </is>
      </c>
      <c r="C1195" t="inlineStr">
        <is>
          <t>Plage De Sidi Rahal</t>
        </is>
      </c>
      <c r="D1195" t="inlineStr">
        <is>
          <t>Sidi Rahal</t>
        </is>
      </c>
      <c r="E1195" s="7" t="n">
        <v>1700000</v>
      </c>
      <c r="F1195" s="8" t="n">
        <v>154</v>
      </c>
      <c r="G1195" s="8" t="n"/>
      <c r="H1195" s="8" t="n"/>
      <c r="I1195" s="9">
        <f>IFERROR(E1195/F1195,"")</f>
        <v/>
      </c>
      <c r="J1195" t="n">
        <v>7</v>
      </c>
      <c r="K1195" t="n">
        <v>1</v>
      </c>
      <c r="P1195" t="inlineStr">
        <is>
          <t>LISTED</t>
        </is>
      </c>
      <c r="S1195" t="n">
        <v>33.47335421794171</v>
      </c>
      <c r="T1195" t="n">
        <v>-7.943775674795011</v>
      </c>
      <c r="U1195" s="7" t="n">
        <v>9780</v>
      </c>
      <c r="V1195" t="inlineStr"/>
      <c r="W1195" s="10" t="inlineStr">
        <is>
          <t>https://yakeey.com/fr-ma/achat/biens/155580</t>
        </is>
      </c>
    </row>
    <row r="1196">
      <c r="A1196" s="2" t="inlineStr">
        <is>
          <t>157018</t>
        </is>
      </c>
      <c r="B1196" s="2" t="inlineStr">
        <is>
          <t>VILLA</t>
        </is>
      </c>
      <c r="C1196" s="2" t="inlineStr">
        <is>
          <t>Cil</t>
        </is>
      </c>
      <c r="D1196" s="2" t="inlineStr">
        <is>
          <t>Casablanca</t>
        </is>
      </c>
      <c r="E1196" s="3" t="n">
        <v>21200000</v>
      </c>
      <c r="F1196" s="4" t="n">
        <v>471</v>
      </c>
      <c r="G1196" s="4" t="n"/>
      <c r="H1196" s="4" t="n"/>
      <c r="I1196" s="5">
        <f>IFERROR(E1196/F1196,"")</f>
        <v/>
      </c>
      <c r="J1196" s="2" t="n">
        <v>4</v>
      </c>
      <c r="K1196" s="2" t="n">
        <v>3</v>
      </c>
      <c r="L1196" s="2" t="n"/>
      <c r="M1196" s="2" t="n"/>
      <c r="N1196" s="2" t="n"/>
      <c r="O1196" s="2" t="n"/>
      <c r="P1196" s="2" t="inlineStr">
        <is>
          <t>LISTED</t>
        </is>
      </c>
      <c r="Q1196" s="2" t="n"/>
      <c r="R1196" s="2" t="n"/>
      <c r="S1196" s="2" t="n">
        <v>33.56811459714428</v>
      </c>
      <c r="T1196" s="2" t="n">
        <v>-7.658768573036945</v>
      </c>
      <c r="U1196" s="3" t="n">
        <v>121964</v>
      </c>
      <c r="V1196" s="2" t="inlineStr"/>
      <c r="W1196" s="6" t="inlineStr">
        <is>
          <t>https://yakeey.com/fr-ma/achat/biens/157018</t>
        </is>
      </c>
    </row>
    <row r="1197">
      <c r="A1197" t="inlineStr">
        <is>
          <t>157829</t>
        </is>
      </c>
      <c r="B1197" t="inlineStr">
        <is>
          <t>VILLA</t>
        </is>
      </c>
      <c r="C1197" t="inlineStr">
        <is>
          <t>Longchamps</t>
        </is>
      </c>
      <c r="D1197" t="inlineStr">
        <is>
          <t>Casablanca</t>
        </is>
      </c>
      <c r="E1197" s="7" t="n">
        <v>18000000</v>
      </c>
      <c r="F1197" s="8" t="n">
        <v>437</v>
      </c>
      <c r="G1197" s="8" t="n"/>
      <c r="H1197" s="8" t="n"/>
      <c r="I1197" s="9">
        <f>IFERROR(E1197/F1197,"")</f>
        <v/>
      </c>
      <c r="J1197" t="n">
        <v>4</v>
      </c>
      <c r="K1197" t="n">
        <v>2</v>
      </c>
      <c r="P1197" t="inlineStr">
        <is>
          <t>LISTED</t>
        </is>
      </c>
      <c r="S1197" t="n">
        <v>33.57952438853735</v>
      </c>
      <c r="T1197" t="n">
        <v>-7.655985392003711</v>
      </c>
      <c r="U1197" s="7" t="n">
        <v>103555</v>
      </c>
      <c r="V1197" t="inlineStr"/>
      <c r="W1197" s="10" t="inlineStr">
        <is>
          <t>https://yakeey.com/fr-ma/achat/biens/157829</t>
        </is>
      </c>
    </row>
    <row r="1198">
      <c r="A1198" s="2" t="inlineStr">
        <is>
          <t>158539</t>
        </is>
      </c>
      <c r="B1198" s="2" t="inlineStr">
        <is>
          <t>VILLA</t>
        </is>
      </c>
      <c r="C1198" s="2" t="inlineStr">
        <is>
          <t>Polo (Maarif)</t>
        </is>
      </c>
      <c r="D1198" s="2" t="inlineStr">
        <is>
          <t>Casablanca</t>
        </is>
      </c>
      <c r="E1198" s="3" t="n">
        <v>14000000</v>
      </c>
      <c r="F1198" s="4" t="n">
        <v>830</v>
      </c>
      <c r="G1198" s="4" t="n"/>
      <c r="H1198" s="4" t="n"/>
      <c r="I1198" s="5">
        <f>IFERROR(E1198/F1198,"")</f>
        <v/>
      </c>
      <c r="J1198" s="2" t="n">
        <v>7</v>
      </c>
      <c r="K1198" s="2" t="n">
        <v>4</v>
      </c>
      <c r="L1198" s="2" t="n"/>
      <c r="M1198" s="2" t="n"/>
      <c r="N1198" s="2" t="n"/>
      <c r="O1198" s="2" t="n"/>
      <c r="P1198" s="2" t="inlineStr">
        <is>
          <t>LISTED</t>
        </is>
      </c>
      <c r="Q1198" s="2" t="n"/>
      <c r="R1198" s="2" t="n"/>
      <c r="S1198" s="2" t="n">
        <v>33.55974049693923</v>
      </c>
      <c r="T1198" s="2" t="n">
        <v>-7.619388606254374</v>
      </c>
      <c r="U1198" s="3" t="n">
        <v>80542</v>
      </c>
      <c r="V1198" s="2" t="inlineStr"/>
      <c r="W1198" s="6" t="inlineStr">
        <is>
          <t>https://yakeey.com/fr-ma/achat/biens/158539</t>
        </is>
      </c>
    </row>
    <row r="1199">
      <c r="A1199" t="inlineStr">
        <is>
          <t>158552</t>
        </is>
      </c>
      <c r="B1199" t="inlineStr">
        <is>
          <t>VILLA</t>
        </is>
      </c>
      <c r="C1199" t="inlineStr">
        <is>
          <t>Laymoune</t>
        </is>
      </c>
      <c r="D1199" t="inlineStr">
        <is>
          <t>Casablanca</t>
        </is>
      </c>
      <c r="E1199" s="7" t="n">
        <v>7900000</v>
      </c>
      <c r="F1199" s="8" t="n">
        <v>622</v>
      </c>
      <c r="G1199" s="8" t="n"/>
      <c r="H1199" s="8" t="n"/>
      <c r="I1199" s="9">
        <f>IFERROR(E1199/F1199,"")</f>
        <v/>
      </c>
      <c r="J1199" t="n">
        <v>4</v>
      </c>
      <c r="K1199" t="n">
        <v>3</v>
      </c>
      <c r="P1199" t="inlineStr">
        <is>
          <t>LISTED</t>
        </is>
      </c>
      <c r="S1199" t="n">
        <v>33.5410650798218</v>
      </c>
      <c r="T1199" t="n">
        <v>-7.66491920777378</v>
      </c>
      <c r="U1199" s="7" t="n">
        <v>45449</v>
      </c>
      <c r="V1199" t="inlineStr"/>
      <c r="W1199" s="10" t="inlineStr">
        <is>
          <t>https://yakeey.com/fr-ma/achat/biens/158552</t>
        </is>
      </c>
    </row>
    <row r="1200">
      <c r="A1200" s="2" t="inlineStr">
        <is>
          <t>159076</t>
        </is>
      </c>
      <c r="B1200" s="2" t="inlineStr">
        <is>
          <t>VILLA</t>
        </is>
      </c>
      <c r="C1200" s="2" t="inlineStr">
        <is>
          <t>Ain Diab</t>
        </is>
      </c>
      <c r="D1200" s="2" t="inlineStr">
        <is>
          <t>Casablanca</t>
        </is>
      </c>
      <c r="E1200" s="3" t="n">
        <v>21900000</v>
      </c>
      <c r="F1200" s="4" t="n">
        <v>1132</v>
      </c>
      <c r="G1200" s="4" t="n"/>
      <c r="H1200" s="4" t="n"/>
      <c r="I1200" s="5">
        <f>IFERROR(E1200/F1200,"")</f>
        <v/>
      </c>
      <c r="J1200" s="2" t="n">
        <v>4</v>
      </c>
      <c r="K1200" s="2" t="n">
        <v>3</v>
      </c>
      <c r="L1200" s="2" t="n"/>
      <c r="M1200" s="2" t="n"/>
      <c r="N1200" s="2" t="n"/>
      <c r="O1200" s="2" t="n"/>
      <c r="P1200" s="2" t="inlineStr">
        <is>
          <t>LISTED</t>
        </is>
      </c>
      <c r="Q1200" s="2" t="n"/>
      <c r="R1200" s="2" t="n"/>
      <c r="S1200" s="2" t="n">
        <v>33.57495665450435</v>
      </c>
      <c r="T1200" s="2" t="n">
        <v>-7.699193449107014</v>
      </c>
      <c r="U1200" s="3" t="n">
        <v>125992</v>
      </c>
      <c r="V1200" s="2" t="inlineStr"/>
      <c r="W1200" s="6" t="inlineStr">
        <is>
          <t>https://yakeey.com/fr-ma/achat/biens/159076</t>
        </is>
      </c>
    </row>
    <row r="1201">
      <c r="A1201" t="inlineStr">
        <is>
          <t>159307</t>
        </is>
      </c>
      <c r="B1201" t="inlineStr">
        <is>
          <t>VILLA</t>
        </is>
      </c>
      <c r="C1201" t="inlineStr">
        <is>
          <t>Longchamps</t>
        </is>
      </c>
      <c r="D1201" t="inlineStr">
        <is>
          <t>Casablanca</t>
        </is>
      </c>
      <c r="E1201" s="7" t="n">
        <v>7500000</v>
      </c>
      <c r="F1201" s="8" t="n">
        <v>396</v>
      </c>
      <c r="G1201" s="8" t="n"/>
      <c r="H1201" s="8" t="n"/>
      <c r="I1201" s="9">
        <f>IFERROR(E1201/F1201,"")</f>
        <v/>
      </c>
      <c r="J1201" t="n">
        <v>6</v>
      </c>
      <c r="K1201" t="n">
        <v>3</v>
      </c>
      <c r="P1201" t="inlineStr">
        <is>
          <t>LISTED</t>
        </is>
      </c>
      <c r="S1201" t="n">
        <v>33.57340180377201</v>
      </c>
      <c r="T1201" t="n">
        <v>-7.66792032901202</v>
      </c>
      <c r="U1201" s="7" t="n">
        <v>43147</v>
      </c>
      <c r="V1201" t="inlineStr"/>
      <c r="W1201" s="10" t="inlineStr">
        <is>
          <t>https://yakeey.com/fr-ma/achat/biens/159307</t>
        </is>
      </c>
    </row>
    <row r="1202">
      <c r="A1202" s="2" t="inlineStr">
        <is>
          <t>159620</t>
        </is>
      </c>
      <c r="B1202" s="2" t="inlineStr">
        <is>
          <t>VILLA</t>
        </is>
      </c>
      <c r="C1202" s="2" t="inlineStr">
        <is>
          <t>Ain Diab</t>
        </is>
      </c>
      <c r="D1202" s="2" t="inlineStr">
        <is>
          <t>Casablanca</t>
        </is>
      </c>
      <c r="E1202" s="3" t="n">
        <v>7990000</v>
      </c>
      <c r="F1202" s="4" t="n">
        <v>322</v>
      </c>
      <c r="G1202" s="4" t="n"/>
      <c r="H1202" s="4" t="n"/>
      <c r="I1202" s="5">
        <f>IFERROR(E1202/F1202,"")</f>
        <v/>
      </c>
      <c r="J1202" s="2" t="n">
        <v>3</v>
      </c>
      <c r="K1202" s="2" t="n">
        <v>3</v>
      </c>
      <c r="L1202" s="2" t="n"/>
      <c r="M1202" s="2" t="n"/>
      <c r="N1202" s="2" t="n"/>
      <c r="O1202" s="2" t="n"/>
      <c r="P1202" s="2" t="inlineStr">
        <is>
          <t>LISTED</t>
        </is>
      </c>
      <c r="Q1202" s="2" t="n"/>
      <c r="R1202" s="2" t="n"/>
      <c r="S1202" s="2" t="n">
        <v>33.57175406895295</v>
      </c>
      <c r="T1202" s="2" t="n">
        <v>-7.691232694319978</v>
      </c>
      <c r="U1202" s="3" t="n">
        <v>45966</v>
      </c>
      <c r="V1202" s="2" t="inlineStr"/>
      <c r="W1202" s="6" t="inlineStr">
        <is>
          <t>https://yakeey.com/fr-ma/achat/biens/159620</t>
        </is>
      </c>
    </row>
    <row r="1203">
      <c r="A1203" t="inlineStr">
        <is>
          <t>15979</t>
        </is>
      </c>
      <c r="B1203" t="inlineStr">
        <is>
          <t>VILLA</t>
        </is>
      </c>
      <c r="C1203" t="inlineStr">
        <is>
          <t>Nouaceur</t>
        </is>
      </c>
      <c r="D1203" t="inlineStr">
        <is>
          <t>Casablanca</t>
        </is>
      </c>
      <c r="E1203" s="7" t="n">
        <v>7700000</v>
      </c>
      <c r="F1203" s="8" t="n">
        <v>753</v>
      </c>
      <c r="G1203" s="8" t="n"/>
      <c r="H1203" s="8" t="n"/>
      <c r="I1203" s="9">
        <f>IFERROR(E1203/F1203,"")</f>
        <v/>
      </c>
      <c r="J1203" t="n">
        <v>5</v>
      </c>
      <c r="K1203" t="n">
        <v>6</v>
      </c>
      <c r="P1203" t="inlineStr">
        <is>
          <t>LISTED</t>
        </is>
      </c>
      <c r="S1203" t="n">
        <v>33.39551731357635</v>
      </c>
      <c r="T1203" t="n">
        <v>-7.565575953996569</v>
      </c>
      <c r="U1203" s="7" t="n">
        <v>44298</v>
      </c>
      <c r="V1203" t="inlineStr"/>
      <c r="W1203" s="10" t="inlineStr">
        <is>
          <t>https://yakeey.com/fr-ma/achat/biens/15979</t>
        </is>
      </c>
    </row>
    <row r="1204">
      <c r="A1204" s="2" t="inlineStr">
        <is>
          <t>160293</t>
        </is>
      </c>
      <c r="B1204" s="2" t="inlineStr">
        <is>
          <t>VILLA</t>
        </is>
      </c>
      <c r="C1204" s="2" t="inlineStr">
        <is>
          <t>Oasis</t>
        </is>
      </c>
      <c r="D1204" s="2" t="inlineStr">
        <is>
          <t>Casablanca</t>
        </is>
      </c>
      <c r="E1204" s="3" t="n">
        <v>8550000</v>
      </c>
      <c r="F1204" s="4" t="n">
        <v>450</v>
      </c>
      <c r="G1204" s="4" t="n"/>
      <c r="H1204" s="4" t="n"/>
      <c r="I1204" s="5">
        <f>IFERROR(E1204/F1204,"")</f>
        <v/>
      </c>
      <c r="J1204" s="2" t="n">
        <v>4</v>
      </c>
      <c r="K1204" s="2" t="n">
        <v>1</v>
      </c>
      <c r="L1204" s="2" t="n"/>
      <c r="M1204" s="2" t="n"/>
      <c r="N1204" s="2" t="n"/>
      <c r="O1204" s="2" t="n"/>
      <c r="P1204" s="2" t="inlineStr">
        <is>
          <t>LISTED</t>
        </is>
      </c>
      <c r="Q1204" s="2" t="n"/>
      <c r="R1204" s="2" t="n"/>
      <c r="S1204" s="2" t="n">
        <v>33.56006603723459</v>
      </c>
      <c r="T1204" s="2" t="n">
        <v>-7.642371580932922</v>
      </c>
      <c r="U1204" s="3" t="n">
        <v>49188</v>
      </c>
      <c r="V1204" s="2" t="inlineStr"/>
      <c r="W1204" s="6" t="inlineStr">
        <is>
          <t>https://yakeey.com/fr-ma/achat/biens/160293</t>
        </is>
      </c>
    </row>
    <row r="1205">
      <c r="A1205" t="inlineStr">
        <is>
          <t>160323</t>
        </is>
      </c>
      <c r="B1205" t="inlineStr">
        <is>
          <t>VILLA</t>
        </is>
      </c>
      <c r="C1205" t="inlineStr">
        <is>
          <t>Laymoune</t>
        </is>
      </c>
      <c r="D1205" t="inlineStr">
        <is>
          <t>Casablanca</t>
        </is>
      </c>
      <c r="E1205" s="7" t="n">
        <v>3200000</v>
      </c>
      <c r="F1205" s="8" t="n">
        <v>78</v>
      </c>
      <c r="G1205" s="8" t="n"/>
      <c r="H1205" s="8" t="n"/>
      <c r="I1205" s="9">
        <f>IFERROR(E1205/F1205,"")</f>
        <v/>
      </c>
      <c r="J1205" t="n">
        <v>4</v>
      </c>
      <c r="K1205" t="n">
        <v>3</v>
      </c>
      <c r="P1205" t="inlineStr">
        <is>
          <t>LISTED</t>
        </is>
      </c>
      <c r="S1205" t="n">
        <v>33.54254347629409</v>
      </c>
      <c r="T1205" t="n">
        <v>-7.672088917349043</v>
      </c>
      <c r="U1205" s="7" t="n">
        <v>18409</v>
      </c>
      <c r="V1205" t="inlineStr"/>
      <c r="W1205" s="10" t="inlineStr">
        <is>
          <t>https://yakeey.com/fr-ma/achat/biens/160323</t>
        </is>
      </c>
    </row>
    <row r="1206">
      <c r="A1206" s="2" t="inlineStr">
        <is>
          <t>162246</t>
        </is>
      </c>
      <c r="B1206" s="2" t="inlineStr">
        <is>
          <t>VILLA</t>
        </is>
      </c>
      <c r="C1206" s="2" t="inlineStr">
        <is>
          <t>Californie</t>
        </is>
      </c>
      <c r="D1206" s="2" t="inlineStr">
        <is>
          <t>Casablanca</t>
        </is>
      </c>
      <c r="E1206" s="3" t="n">
        <v>13000000</v>
      </c>
      <c r="F1206" s="4" t="n">
        <v>682</v>
      </c>
      <c r="G1206" s="4" t="n"/>
      <c r="H1206" s="4" t="n"/>
      <c r="I1206" s="5">
        <f>IFERROR(E1206/F1206,"")</f>
        <v/>
      </c>
      <c r="J1206" s="2" t="n">
        <v>7</v>
      </c>
      <c r="K1206" s="2" t="n">
        <v>4</v>
      </c>
      <c r="L1206" s="2" t="n"/>
      <c r="M1206" s="2" t="n"/>
      <c r="N1206" s="2" t="n"/>
      <c r="O1206" s="2" t="n"/>
      <c r="P1206" s="2" t="inlineStr">
        <is>
          <t>LISTED</t>
        </is>
      </c>
      <c r="Q1206" s="2" t="n"/>
      <c r="R1206" s="2" t="n"/>
      <c r="S1206" s="2" t="n">
        <v>33.51436302888163</v>
      </c>
      <c r="T1206" s="2" t="n">
        <v>-7.611361963440203</v>
      </c>
      <c r="U1206" s="3" t="n">
        <v>74789</v>
      </c>
      <c r="V1206" s="2" t="inlineStr"/>
      <c r="W1206" s="6" t="inlineStr">
        <is>
          <t>https://yakeey.com/fr-ma/achat/biens/162246</t>
        </is>
      </c>
    </row>
    <row r="1207">
      <c r="A1207" t="inlineStr">
        <is>
          <t>162426</t>
        </is>
      </c>
      <c r="B1207" t="inlineStr">
        <is>
          <t>VILLA</t>
        </is>
      </c>
      <c r="C1207" t="inlineStr">
        <is>
          <t>Oasis</t>
        </is>
      </c>
      <c r="D1207" t="inlineStr">
        <is>
          <t>Casablanca</t>
        </is>
      </c>
      <c r="E1207" s="7" t="n">
        <v>8600000</v>
      </c>
      <c r="F1207" s="8" t="n">
        <v>462</v>
      </c>
      <c r="G1207" s="8" t="n"/>
      <c r="H1207" s="8" t="n"/>
      <c r="I1207" s="9">
        <f>IFERROR(E1207/F1207,"")</f>
        <v/>
      </c>
      <c r="J1207" t="n">
        <v>4</v>
      </c>
      <c r="P1207" t="inlineStr">
        <is>
          <t>LISTED</t>
        </is>
      </c>
      <c r="S1207" t="n">
        <v>33.55966629745208</v>
      </c>
      <c r="T1207" t="n">
        <v>-7.637364346007236</v>
      </c>
      <c r="U1207" s="7" t="n">
        <v>49476</v>
      </c>
      <c r="V1207" t="inlineStr"/>
      <c r="W1207" s="10" t="inlineStr">
        <is>
          <t>https://yakeey.com/fr-ma/achat/biens/162426</t>
        </is>
      </c>
    </row>
    <row r="1208">
      <c r="A1208" s="2" t="inlineStr">
        <is>
          <t>162432</t>
        </is>
      </c>
      <c r="B1208" s="2" t="inlineStr">
        <is>
          <t>VILLA</t>
        </is>
      </c>
      <c r="C1208" s="2" t="inlineStr">
        <is>
          <t>Oasis</t>
        </is>
      </c>
      <c r="D1208" s="2" t="inlineStr">
        <is>
          <t>Casablanca</t>
        </is>
      </c>
      <c r="E1208" s="3" t="n">
        <v>9800000</v>
      </c>
      <c r="F1208" s="4" t="n">
        <v>529</v>
      </c>
      <c r="G1208" s="4" t="n"/>
      <c r="H1208" s="4" t="n"/>
      <c r="I1208" s="5">
        <f>IFERROR(E1208/F1208,"")</f>
        <v/>
      </c>
      <c r="J1208" s="2" t="n">
        <v>5</v>
      </c>
      <c r="K1208" s="2" t="n"/>
      <c r="L1208" s="2" t="n"/>
      <c r="M1208" s="2" t="n"/>
      <c r="N1208" s="2" t="n"/>
      <c r="O1208" s="2" t="n"/>
      <c r="P1208" s="2" t="inlineStr">
        <is>
          <t>LISTED</t>
        </is>
      </c>
      <c r="Q1208" s="2" t="n"/>
      <c r="R1208" s="2" t="n"/>
      <c r="S1208" s="2" t="n">
        <v>33.56159235153498</v>
      </c>
      <c r="T1208" s="2" t="n">
        <v>-7.642643815408442</v>
      </c>
      <c r="U1208" s="3" t="n">
        <v>56379</v>
      </c>
      <c r="V1208" s="2" t="inlineStr"/>
      <c r="W1208" s="6" t="inlineStr">
        <is>
          <t>https://yakeey.com/fr-ma/achat/biens/162432</t>
        </is>
      </c>
    </row>
    <row r="1209">
      <c r="A1209" t="inlineStr">
        <is>
          <t>162864</t>
        </is>
      </c>
      <c r="B1209" t="inlineStr">
        <is>
          <t>VILLA</t>
        </is>
      </c>
      <c r="C1209" t="inlineStr">
        <is>
          <t>Ain Diab</t>
        </is>
      </c>
      <c r="D1209" t="inlineStr">
        <is>
          <t>Casablanca</t>
        </is>
      </c>
      <c r="E1209" s="7" t="n">
        <v>14500000</v>
      </c>
      <c r="F1209" s="8" t="n">
        <v>516</v>
      </c>
      <c r="G1209" s="8" t="n"/>
      <c r="H1209" s="8" t="n"/>
      <c r="I1209" s="9">
        <f>IFERROR(E1209/F1209,"")</f>
        <v/>
      </c>
      <c r="J1209" t="n">
        <v>8</v>
      </c>
      <c r="K1209" t="n">
        <v>4</v>
      </c>
      <c r="P1209" t="inlineStr">
        <is>
          <t>LISTED</t>
        </is>
      </c>
      <c r="S1209" t="n">
        <v>33.59840942136962</v>
      </c>
      <c r="T1209" t="n">
        <v>-7.65516718849768</v>
      </c>
      <c r="U1209" s="7" t="n">
        <v>83419</v>
      </c>
      <c r="V1209" t="inlineStr"/>
      <c r="W1209" s="10" t="inlineStr">
        <is>
          <t>https://yakeey.com/fr-ma/achat/biens/162864</t>
        </is>
      </c>
    </row>
    <row r="1210">
      <c r="A1210" s="2" t="inlineStr">
        <is>
          <t>165961</t>
        </is>
      </c>
      <c r="B1210" s="2" t="inlineStr">
        <is>
          <t>VILLA</t>
        </is>
      </c>
      <c r="C1210" s="2" t="inlineStr">
        <is>
          <t>Ain Diab</t>
        </is>
      </c>
      <c r="D1210" s="2" t="inlineStr">
        <is>
          <t>Casablanca</t>
        </is>
      </c>
      <c r="E1210" s="3" t="n">
        <v>12000000</v>
      </c>
      <c r="F1210" s="4" t="n">
        <v>715</v>
      </c>
      <c r="G1210" s="4" t="n"/>
      <c r="H1210" s="4" t="n"/>
      <c r="I1210" s="5">
        <f>IFERROR(E1210/F1210,"")</f>
        <v/>
      </c>
      <c r="J1210" s="2" t="n">
        <v>5</v>
      </c>
      <c r="K1210" s="2" t="n">
        <v>4</v>
      </c>
      <c r="L1210" s="2" t="n"/>
      <c r="M1210" s="2" t="n"/>
      <c r="N1210" s="2" t="n"/>
      <c r="O1210" s="2" t="n"/>
      <c r="P1210" s="2" t="inlineStr">
        <is>
          <t>LISTED</t>
        </is>
      </c>
      <c r="Q1210" s="2" t="n"/>
      <c r="R1210" s="2" t="n"/>
      <c r="S1210" s="2" t="n">
        <v>33.57882145244761</v>
      </c>
      <c r="T1210" s="2" t="n">
        <v>-7.678365166530024</v>
      </c>
      <c r="U1210" s="3" t="n">
        <v>69036</v>
      </c>
      <c r="V1210" s="2" t="inlineStr"/>
      <c r="W1210" s="6" t="inlineStr">
        <is>
          <t>https://yakeey.com/fr-ma/achat/biens/165961</t>
        </is>
      </c>
    </row>
    <row r="1211">
      <c r="A1211" t="inlineStr">
        <is>
          <t>166037</t>
        </is>
      </c>
      <c r="B1211" t="inlineStr">
        <is>
          <t>VILLA</t>
        </is>
      </c>
      <c r="C1211" t="inlineStr">
        <is>
          <t>Nassim</t>
        </is>
      </c>
      <c r="D1211" t="inlineStr">
        <is>
          <t>Casablanca</t>
        </is>
      </c>
      <c r="E1211" s="7" t="n">
        <v>7270000</v>
      </c>
      <c r="F1211" s="8" t="n">
        <v>583</v>
      </c>
      <c r="G1211" s="8" t="n"/>
      <c r="H1211" s="8" t="n"/>
      <c r="I1211" s="9">
        <f>IFERROR(E1211/F1211,"")</f>
        <v/>
      </c>
      <c r="J1211" t="n">
        <v>4</v>
      </c>
      <c r="K1211" t="n">
        <v>2</v>
      </c>
      <c r="P1211" t="inlineStr">
        <is>
          <t>LISTED</t>
        </is>
      </c>
      <c r="S1211" t="n">
        <v>33.51865492247154</v>
      </c>
      <c r="T1211" t="n">
        <v>-7.665596512098705</v>
      </c>
      <c r="U1211" s="7" t="n">
        <v>41824</v>
      </c>
      <c r="V1211" t="inlineStr"/>
      <c r="W1211" s="10" t="inlineStr">
        <is>
          <t>https://yakeey.com/fr-ma/achat/biens/166037</t>
        </is>
      </c>
    </row>
    <row r="1212">
      <c r="A1212" s="2" t="inlineStr">
        <is>
          <t>166165</t>
        </is>
      </c>
      <c r="B1212" s="2" t="inlineStr">
        <is>
          <t>VILLA</t>
        </is>
      </c>
      <c r="C1212" s="2" t="inlineStr">
        <is>
          <t>Ain Diab Extension 2</t>
        </is>
      </c>
      <c r="D1212" s="2" t="inlineStr">
        <is>
          <t>Casablanca</t>
        </is>
      </c>
      <c r="E1212" s="3" t="n">
        <v>12200000</v>
      </c>
      <c r="F1212" s="4" t="n">
        <v>496</v>
      </c>
      <c r="G1212" s="4" t="n"/>
      <c r="H1212" s="4" t="n"/>
      <c r="I1212" s="5">
        <f>IFERROR(E1212/F1212,"")</f>
        <v/>
      </c>
      <c r="J1212" s="2" t="n">
        <v>4</v>
      </c>
      <c r="K1212" s="2" t="n">
        <v>3</v>
      </c>
      <c r="L1212" s="2" t="n"/>
      <c r="M1212" s="2" t="n"/>
      <c r="N1212" s="2" t="n"/>
      <c r="O1212" s="2" t="n"/>
      <c r="P1212" s="2" t="inlineStr">
        <is>
          <t>LISTED</t>
        </is>
      </c>
      <c r="Q1212" s="2" t="n"/>
      <c r="R1212" s="2" t="n"/>
      <c r="S1212" s="2" t="n">
        <v>33.56554353958246</v>
      </c>
      <c r="T1212" s="2" t="n">
        <v>-7.714419271397394</v>
      </c>
      <c r="U1212" s="3" t="n">
        <v>70187</v>
      </c>
      <c r="V1212" s="2" t="inlineStr"/>
      <c r="W1212" s="6" t="inlineStr">
        <is>
          <t>https://yakeey.com/fr-ma/achat/biens/166165</t>
        </is>
      </c>
    </row>
    <row r="1213">
      <c r="A1213" t="inlineStr">
        <is>
          <t>166575</t>
        </is>
      </c>
      <c r="B1213" t="inlineStr">
        <is>
          <t>VILLA</t>
        </is>
      </c>
      <c r="C1213" t="inlineStr">
        <is>
          <t>Val Fleuri</t>
        </is>
      </c>
      <c r="D1213" t="inlineStr">
        <is>
          <t>Casablanca</t>
        </is>
      </c>
      <c r="E1213" s="7" t="n">
        <v>45330000</v>
      </c>
      <c r="F1213" s="8" t="n">
        <v>1267</v>
      </c>
      <c r="G1213" s="8" t="n"/>
      <c r="H1213" s="8" t="n"/>
      <c r="I1213" s="9">
        <f>IFERROR(E1213/F1213,"")</f>
        <v/>
      </c>
      <c r="J1213" t="n">
        <v>5</v>
      </c>
      <c r="P1213" t="inlineStr">
        <is>
          <t>LISTED</t>
        </is>
      </c>
      <c r="S1213" t="n">
        <v>33.57293466389759</v>
      </c>
      <c r="T1213" t="n">
        <v>-7.635885280312924</v>
      </c>
      <c r="U1213" s="7" t="n">
        <v>260786</v>
      </c>
      <c r="V1213" t="inlineStr"/>
      <c r="W1213" s="10" t="inlineStr">
        <is>
          <t>https://yakeey.com/fr-ma/achat/biens/166575</t>
        </is>
      </c>
    </row>
    <row r="1214">
      <c r="A1214" s="2" t="inlineStr">
        <is>
          <t>167244</t>
        </is>
      </c>
      <c r="B1214" s="2" t="inlineStr">
        <is>
          <t>VILLA</t>
        </is>
      </c>
      <c r="C1214" s="2" t="inlineStr">
        <is>
          <t>Ain Diab Extension 2</t>
        </is>
      </c>
      <c r="D1214" s="2" t="inlineStr">
        <is>
          <t>Casablanca</t>
        </is>
      </c>
      <c r="E1214" s="3" t="n">
        <v>7900000</v>
      </c>
      <c r="F1214" s="4" t="n">
        <v>456</v>
      </c>
      <c r="G1214" s="4" t="n"/>
      <c r="H1214" s="4" t="n"/>
      <c r="I1214" s="5">
        <f>IFERROR(E1214/F1214,"")</f>
        <v/>
      </c>
      <c r="J1214" s="2" t="n">
        <v>3</v>
      </c>
      <c r="K1214" s="2" t="n">
        <v>2</v>
      </c>
      <c r="L1214" s="2" t="n"/>
      <c r="M1214" s="2" t="n"/>
      <c r="N1214" s="2" t="n"/>
      <c r="O1214" s="2" t="n"/>
      <c r="P1214" s="2" t="inlineStr">
        <is>
          <t>SOLD_OUT</t>
        </is>
      </c>
      <c r="Q1214" s="2" t="n"/>
      <c r="R1214" s="2" t="n"/>
      <c r="S1214" s="2" t="n">
        <v>33.56436748380962</v>
      </c>
      <c r="T1214" s="2" t="n">
        <v>-7.711235502750312</v>
      </c>
      <c r="U1214" s="3" t="n">
        <v>45449</v>
      </c>
      <c r="V1214" s="2" t="inlineStr"/>
      <c r="W1214" s="6" t="inlineStr">
        <is>
          <t>https://yakeey.com/fr-ma/achat/biens/167244</t>
        </is>
      </c>
    </row>
    <row r="1215">
      <c r="A1215" t="inlineStr">
        <is>
          <t>167838</t>
        </is>
      </c>
      <c r="B1215" t="inlineStr">
        <is>
          <t>VILLA</t>
        </is>
      </c>
      <c r="C1215" t="inlineStr">
        <is>
          <t>Oasis</t>
        </is>
      </c>
      <c r="D1215" t="inlineStr">
        <is>
          <t>Casablanca</t>
        </is>
      </c>
      <c r="E1215" s="7" t="n">
        <v>13500000</v>
      </c>
      <c r="F1215" s="8" t="n">
        <v>655</v>
      </c>
      <c r="G1215" s="8" t="n"/>
      <c r="H1215" s="8" t="n"/>
      <c r="I1215" s="9">
        <f>IFERROR(E1215/F1215,"")</f>
        <v/>
      </c>
      <c r="J1215" t="n">
        <v>6</v>
      </c>
      <c r="K1215" t="n">
        <v>2</v>
      </c>
      <c r="P1215" t="inlineStr">
        <is>
          <t>LISTED</t>
        </is>
      </c>
      <c r="S1215" t="n">
        <v>33.56343104884216</v>
      </c>
      <c r="T1215" t="n">
        <v>-7.630787715995227</v>
      </c>
      <c r="U1215" s="7" t="n">
        <v>77666</v>
      </c>
      <c r="V1215" t="inlineStr"/>
      <c r="W1215" s="10" t="inlineStr">
        <is>
          <t>https://yakeey.com/fr-ma/achat/biens/167838</t>
        </is>
      </c>
    </row>
    <row r="1216">
      <c r="A1216" s="2" t="inlineStr">
        <is>
          <t>167843</t>
        </is>
      </c>
      <c r="B1216" s="2" t="inlineStr">
        <is>
          <t>VILLA</t>
        </is>
      </c>
      <c r="C1216" s="2" t="inlineStr">
        <is>
          <t>Ain Diab</t>
        </is>
      </c>
      <c r="D1216" s="2" t="inlineStr">
        <is>
          <t>Casablanca</t>
        </is>
      </c>
      <c r="E1216" s="3" t="n">
        <v>20500000</v>
      </c>
      <c r="F1216" s="4" t="n">
        <v>1000</v>
      </c>
      <c r="G1216" s="4" t="n"/>
      <c r="H1216" s="4" t="n"/>
      <c r="I1216" s="5">
        <f>IFERROR(E1216/F1216,"")</f>
        <v/>
      </c>
      <c r="J1216" s="2" t="n">
        <v>5</v>
      </c>
      <c r="K1216" s="2" t="n">
        <v>5</v>
      </c>
      <c r="L1216" s="2" t="n"/>
      <c r="M1216" s="2" t="n"/>
      <c r="N1216" s="2" t="n"/>
      <c r="O1216" s="2" t="n"/>
      <c r="P1216" s="2" t="inlineStr">
        <is>
          <t>LISTED</t>
        </is>
      </c>
      <c r="Q1216" s="2" t="n"/>
      <c r="R1216" s="2" t="n"/>
      <c r="S1216" s="2" t="n">
        <v>33.57150856349431</v>
      </c>
      <c r="T1216" s="2" t="n">
        <v>-7.69253443278303</v>
      </c>
      <c r="U1216" s="3" t="n">
        <v>117937</v>
      </c>
      <c r="V1216" s="2" t="inlineStr"/>
      <c r="W1216" s="6" t="inlineStr">
        <is>
          <t>https://yakeey.com/fr-ma/achat/biens/167843</t>
        </is>
      </c>
    </row>
    <row r="1217">
      <c r="A1217" t="inlineStr">
        <is>
          <t>168800</t>
        </is>
      </c>
      <c r="B1217" t="inlineStr">
        <is>
          <t>VILLA</t>
        </is>
      </c>
      <c r="C1217" t="inlineStr">
        <is>
          <t>Oasis</t>
        </is>
      </c>
      <c r="D1217" t="inlineStr">
        <is>
          <t>Casablanca</t>
        </is>
      </c>
      <c r="E1217" s="7" t="n">
        <v>8200000</v>
      </c>
      <c r="F1217" s="8" t="n">
        <v>490</v>
      </c>
      <c r="G1217" s="8" t="n"/>
      <c r="H1217" s="8" t="n"/>
      <c r="I1217" s="9">
        <f>IFERROR(E1217/F1217,"")</f>
        <v/>
      </c>
      <c r="J1217" t="n">
        <v>5</v>
      </c>
      <c r="K1217" t="n">
        <v>2</v>
      </c>
      <c r="P1217" t="inlineStr">
        <is>
          <t>LISTED</t>
        </is>
      </c>
      <c r="S1217" t="n">
        <v>33.5617964070855</v>
      </c>
      <c r="T1217" t="n">
        <v>-7.630772180421718</v>
      </c>
      <c r="U1217" s="7" t="n">
        <v>47175</v>
      </c>
      <c r="V1217" t="inlineStr"/>
      <c r="W1217" s="10" t="inlineStr">
        <is>
          <t>https://yakeey.com/fr-ma/achat/biens/168800</t>
        </is>
      </c>
    </row>
    <row r="1218">
      <c r="A1218" s="2" t="inlineStr">
        <is>
          <t>170899</t>
        </is>
      </c>
      <c r="B1218" s="2" t="inlineStr">
        <is>
          <t>VILLA</t>
        </is>
      </c>
      <c r="C1218" s="2" t="inlineStr">
        <is>
          <t>Mers Sultan</t>
        </is>
      </c>
      <c r="D1218" s="2" t="inlineStr">
        <is>
          <t>Casablanca</t>
        </is>
      </c>
      <c r="E1218" s="3" t="n">
        <v>8200000</v>
      </c>
      <c r="F1218" s="4" t="n">
        <v>620</v>
      </c>
      <c r="G1218" s="4" t="n"/>
      <c r="H1218" s="4" t="n"/>
      <c r="I1218" s="5">
        <f>IFERROR(E1218/F1218,"")</f>
        <v/>
      </c>
      <c r="J1218" s="2" t="n">
        <v>5</v>
      </c>
      <c r="K1218" s="2" t="n">
        <v>3</v>
      </c>
      <c r="L1218" s="2" t="n"/>
      <c r="M1218" s="2" t="n"/>
      <c r="N1218" s="2" t="n"/>
      <c r="O1218" s="2" t="n"/>
      <c r="P1218" s="2" t="inlineStr">
        <is>
          <t>LISTED</t>
        </is>
      </c>
      <c r="Q1218" s="2" t="n"/>
      <c r="R1218" s="2" t="n"/>
      <c r="S1218" s="2" t="n">
        <v>33.58129442990693</v>
      </c>
      <c r="T1218" s="2" t="n">
        <v>-7.611910793634114</v>
      </c>
      <c r="U1218" s="3" t="n">
        <v>47175</v>
      </c>
      <c r="V1218" s="2" t="inlineStr"/>
      <c r="W1218" s="6" t="inlineStr">
        <is>
          <t>https://yakeey.com/fr-ma/achat/biens/170899</t>
        </is>
      </c>
    </row>
    <row r="1219">
      <c r="A1219" t="inlineStr">
        <is>
          <t>171127</t>
        </is>
      </c>
      <c r="B1219" t="inlineStr">
        <is>
          <t>VILLA</t>
        </is>
      </c>
      <c r="C1219" t="inlineStr">
        <is>
          <t>Anfa Superieur</t>
        </is>
      </c>
      <c r="D1219" t="inlineStr">
        <is>
          <t>Casablanca</t>
        </is>
      </c>
      <c r="E1219" s="7" t="n">
        <v>32000000</v>
      </c>
      <c r="F1219" s="8" t="n">
        <v>1197</v>
      </c>
      <c r="G1219" s="8" t="n"/>
      <c r="H1219" s="8" t="n"/>
      <c r="I1219" s="9">
        <f>IFERROR(E1219/F1219,"")</f>
        <v/>
      </c>
      <c r="J1219" t="n">
        <v>4</v>
      </c>
      <c r="K1219" t="n">
        <v>4</v>
      </c>
      <c r="P1219" t="inlineStr">
        <is>
          <t>LISTED</t>
        </is>
      </c>
      <c r="S1219" t="n">
        <v>33.58630016500626</v>
      </c>
      <c r="T1219" t="n">
        <v>-7.671378434813628</v>
      </c>
      <c r="U1219" s="7" t="n">
        <v>184097</v>
      </c>
      <c r="V1219" t="inlineStr"/>
      <c r="W1219" s="10" t="inlineStr">
        <is>
          <t>https://yakeey.com/fr-ma/achat/biens/171127</t>
        </is>
      </c>
    </row>
    <row r="1220">
      <c r="A1220" s="2" t="inlineStr">
        <is>
          <t>172696</t>
        </is>
      </c>
      <c r="B1220" s="2" t="inlineStr">
        <is>
          <t>VILLA</t>
        </is>
      </c>
      <c r="C1220" s="2" t="inlineStr">
        <is>
          <t>Cil</t>
        </is>
      </c>
      <c r="D1220" s="2" t="inlineStr">
        <is>
          <t>Casablanca</t>
        </is>
      </c>
      <c r="E1220" s="3" t="n">
        <v>20000000</v>
      </c>
      <c r="F1220" s="4" t="n">
        <v>489</v>
      </c>
      <c r="G1220" s="4" t="n"/>
      <c r="H1220" s="4" t="n"/>
      <c r="I1220" s="5">
        <f>IFERROR(E1220/F1220,"")</f>
        <v/>
      </c>
      <c r="J1220" s="2" t="n">
        <v>4</v>
      </c>
      <c r="K1220" s="2" t="n">
        <v>2</v>
      </c>
      <c r="L1220" s="2" t="n"/>
      <c r="M1220" s="2" t="n"/>
      <c r="N1220" s="2" t="n"/>
      <c r="O1220" s="2" t="n"/>
      <c r="P1220" s="2" t="inlineStr">
        <is>
          <t>LISTED</t>
        </is>
      </c>
      <c r="Q1220" s="2" t="n"/>
      <c r="R1220" s="2" t="n"/>
      <c r="S1220" s="2" t="n">
        <v>33.57359864742591</v>
      </c>
      <c r="T1220" s="2" t="n">
        <v>-7.657340476632173</v>
      </c>
      <c r="U1220" s="3" t="n">
        <v>115061</v>
      </c>
      <c r="V1220" s="2" t="inlineStr"/>
      <c r="W1220" s="6" t="inlineStr">
        <is>
          <t>https://yakeey.com/fr-ma/achat/biens/172696</t>
        </is>
      </c>
    </row>
    <row r="1221">
      <c r="A1221" t="inlineStr">
        <is>
          <t>173085</t>
        </is>
      </c>
      <c r="B1221" t="inlineStr">
        <is>
          <t>VILLA</t>
        </is>
      </c>
      <c r="C1221" t="inlineStr">
        <is>
          <t>Laymoune</t>
        </is>
      </c>
      <c r="D1221" t="inlineStr">
        <is>
          <t>Casablanca</t>
        </is>
      </c>
      <c r="E1221" s="7" t="n">
        <v>6300000</v>
      </c>
      <c r="F1221" s="8" t="n">
        <v>605</v>
      </c>
      <c r="G1221" s="8" t="n"/>
      <c r="H1221" s="8" t="n"/>
      <c r="I1221" s="9">
        <f>IFERROR(E1221/F1221,"")</f>
        <v/>
      </c>
      <c r="J1221" t="n">
        <v>4</v>
      </c>
      <c r="K1221" t="n">
        <v>3</v>
      </c>
      <c r="P1221" t="inlineStr">
        <is>
          <t>LISTED</t>
        </is>
      </c>
      <c r="S1221" t="n">
        <v>33.54030396171306</v>
      </c>
      <c r="T1221" t="n">
        <v>-7.66794234555914</v>
      </c>
      <c r="U1221" s="7" t="n">
        <v>36244</v>
      </c>
      <c r="V1221" t="inlineStr"/>
      <c r="W1221" s="10" t="inlineStr">
        <is>
          <t>https://yakeey.com/fr-ma/achat/biens/173085</t>
        </is>
      </c>
    </row>
    <row r="1222">
      <c r="A1222" s="2" t="inlineStr">
        <is>
          <t>17446</t>
        </is>
      </c>
      <c r="B1222" s="2" t="inlineStr">
        <is>
          <t>VILLA</t>
        </is>
      </c>
      <c r="C1222" s="2" t="inlineStr">
        <is>
          <t>Casa Nearshore</t>
        </is>
      </c>
      <c r="D1222" s="2" t="inlineStr">
        <is>
          <t>Casablanca</t>
        </is>
      </c>
      <c r="E1222" s="3" t="n">
        <v>7000000</v>
      </c>
      <c r="F1222" s="4" t="n">
        <v>422</v>
      </c>
      <c r="G1222" s="4" t="n"/>
      <c r="H1222" s="4" t="n"/>
      <c r="I1222" s="5">
        <f>IFERROR(E1222/F1222,"")</f>
        <v/>
      </c>
      <c r="J1222" s="2" t="n">
        <v>6</v>
      </c>
      <c r="K1222" s="2" t="n">
        <v>5</v>
      </c>
      <c r="L1222" s="2" t="n"/>
      <c r="M1222" s="2" t="n"/>
      <c r="N1222" s="2" t="n"/>
      <c r="O1222" s="2" t="n"/>
      <c r="P1222" s="2" t="inlineStr">
        <is>
          <t>LISTED</t>
        </is>
      </c>
      <c r="Q1222" s="2" t="n"/>
      <c r="R1222" s="2" t="n"/>
      <c r="S1222" s="2" t="n">
        <v>33.52238824267695</v>
      </c>
      <c r="T1222" s="2" t="n">
        <v>-7.643324578667733</v>
      </c>
      <c r="U1222" s="3" t="n">
        <v>40271</v>
      </c>
      <c r="V1222" s="2" t="inlineStr"/>
      <c r="W1222" s="6" t="inlineStr">
        <is>
          <t>https://yakeey.com/fr-ma/achat/biens/17446</t>
        </is>
      </c>
    </row>
    <row r="1223">
      <c r="A1223" t="inlineStr">
        <is>
          <t>175048</t>
        </is>
      </c>
      <c r="B1223" t="inlineStr">
        <is>
          <t>VILLA</t>
        </is>
      </c>
      <c r="C1223" t="inlineStr">
        <is>
          <t>Oasis</t>
        </is>
      </c>
      <c r="D1223" t="inlineStr">
        <is>
          <t>Casablanca</t>
        </is>
      </c>
      <c r="E1223" s="7" t="n">
        <v>18500000</v>
      </c>
      <c r="F1223" s="8" t="n">
        <v>938</v>
      </c>
      <c r="G1223" s="8" t="n"/>
      <c r="H1223" s="8" t="n"/>
      <c r="I1223" s="9">
        <f>IFERROR(E1223/F1223,"")</f>
        <v/>
      </c>
      <c r="J1223" t="n">
        <v>4</v>
      </c>
      <c r="K1223" t="n">
        <v>3</v>
      </c>
      <c r="P1223" t="inlineStr">
        <is>
          <t>LISTED</t>
        </is>
      </c>
      <c r="S1223" t="n">
        <v>33.56145871094716</v>
      </c>
      <c r="T1223" t="n">
        <v>-7.642737125376102</v>
      </c>
      <c r="U1223" s="7" t="n">
        <v>106431</v>
      </c>
      <c r="V1223" t="inlineStr"/>
      <c r="W1223" s="10" t="inlineStr">
        <is>
          <t>https://yakeey.com/fr-ma/achat/biens/175048</t>
        </is>
      </c>
    </row>
    <row r="1224">
      <c r="A1224" s="2" t="inlineStr">
        <is>
          <t>175780</t>
        </is>
      </c>
      <c r="B1224" s="2" t="inlineStr">
        <is>
          <t>VILLA</t>
        </is>
      </c>
      <c r="C1224" s="2" t="inlineStr">
        <is>
          <t>Laymoune</t>
        </is>
      </c>
      <c r="D1224" s="2" t="inlineStr">
        <is>
          <t>Casablanca</t>
        </is>
      </c>
      <c r="E1224" s="3" t="n">
        <v>4000000</v>
      </c>
      <c r="F1224" s="4" t="n">
        <v>116</v>
      </c>
      <c r="G1224" s="4" t="n"/>
      <c r="H1224" s="4" t="n"/>
      <c r="I1224" s="5">
        <f>IFERROR(E1224/F1224,"")</f>
        <v/>
      </c>
      <c r="J1224" s="2" t="n">
        <v>4</v>
      </c>
      <c r="K1224" s="2" t="n">
        <v>4</v>
      </c>
      <c r="L1224" s="2" t="n"/>
      <c r="M1224" s="2" t="n"/>
      <c r="N1224" s="2" t="n"/>
      <c r="O1224" s="2" t="n"/>
      <c r="P1224" s="2" t="inlineStr">
        <is>
          <t>LISTED</t>
        </is>
      </c>
      <c r="Q1224" s="2" t="n"/>
      <c r="R1224" s="2" t="n"/>
      <c r="S1224" s="2" t="n">
        <v>33.53667298173871</v>
      </c>
      <c r="T1224" s="2" t="n">
        <v>-7.667918159010084</v>
      </c>
      <c r="U1224" s="3" t="n">
        <v>23012</v>
      </c>
      <c r="V1224" s="2" t="inlineStr"/>
      <c r="W1224" s="6" t="inlineStr">
        <is>
          <t>https://yakeey.com/fr-ma/achat/biens/175780</t>
        </is>
      </c>
    </row>
    <row r="1225">
      <c r="A1225" t="inlineStr">
        <is>
          <t>175907</t>
        </is>
      </c>
      <c r="B1225" t="inlineStr">
        <is>
          <t>VILLA</t>
        </is>
      </c>
      <c r="C1225" t="inlineStr">
        <is>
          <t>Chantilly (Hippodrome)</t>
        </is>
      </c>
      <c r="D1225" t="inlineStr">
        <is>
          <t>Casablanca</t>
        </is>
      </c>
      <c r="E1225" s="7" t="n">
        <v>61320000</v>
      </c>
      <c r="F1225" s="8" t="n">
        <v>1752</v>
      </c>
      <c r="G1225" s="8" t="n"/>
      <c r="H1225" s="8" t="n"/>
      <c r="I1225" s="9">
        <f>IFERROR(E1225/F1225,"")</f>
        <v/>
      </c>
      <c r="J1225" t="n">
        <v>8</v>
      </c>
      <c r="K1225" t="n">
        <v>5</v>
      </c>
      <c r="P1225" t="inlineStr">
        <is>
          <t>LISTED</t>
        </is>
      </c>
      <c r="S1225" t="n">
        <v>33.5824539733599</v>
      </c>
      <c r="T1225" t="n">
        <v>-7.660705307110848</v>
      </c>
      <c r="U1225" s="7" t="n">
        <v>352777</v>
      </c>
      <c r="V1225" t="inlineStr"/>
      <c r="W1225" s="10" t="inlineStr">
        <is>
          <t>https://yakeey.com/fr-ma/achat/biens/175907</t>
        </is>
      </c>
    </row>
    <row r="1226">
      <c r="A1226" s="2" t="inlineStr">
        <is>
          <t>176750</t>
        </is>
      </c>
      <c r="B1226" s="2" t="inlineStr">
        <is>
          <t>VILLA</t>
        </is>
      </c>
      <c r="C1226" s="2" t="inlineStr">
        <is>
          <t>Florida - Mandarona</t>
        </is>
      </c>
      <c r="D1226" s="2" t="inlineStr">
        <is>
          <t>Casablanca</t>
        </is>
      </c>
      <c r="E1226" s="3" t="n">
        <v>10500000</v>
      </c>
      <c r="F1226" s="4" t="n">
        <v>663</v>
      </c>
      <c r="G1226" s="4" t="n"/>
      <c r="H1226" s="4" t="n"/>
      <c r="I1226" s="5">
        <f>IFERROR(E1226/F1226,"")</f>
        <v/>
      </c>
      <c r="J1226" s="2" t="n">
        <v>5</v>
      </c>
      <c r="K1226" s="2" t="n">
        <v>3</v>
      </c>
      <c r="L1226" s="2" t="n"/>
      <c r="M1226" s="2" t="n"/>
      <c r="N1226" s="2" t="n"/>
      <c r="O1226" s="2" t="n"/>
      <c r="P1226" s="2" t="inlineStr">
        <is>
          <t>LISTED</t>
        </is>
      </c>
      <c r="Q1226" s="2" t="n"/>
      <c r="R1226" s="2" t="n"/>
      <c r="S1226" s="2" t="n">
        <v>33.53980582914634</v>
      </c>
      <c r="T1226" s="2" t="n">
        <v>-7.650168644739692</v>
      </c>
      <c r="U1226" s="3" t="n">
        <v>60407</v>
      </c>
      <c r="V1226" s="2" t="inlineStr"/>
      <c r="W1226" s="6" t="inlineStr">
        <is>
          <t>https://yakeey.com/fr-ma/achat/biens/176750</t>
        </is>
      </c>
    </row>
    <row r="1227">
      <c r="A1227" t="inlineStr">
        <is>
          <t>176784</t>
        </is>
      </c>
      <c r="B1227" t="inlineStr">
        <is>
          <t>VILLA</t>
        </is>
      </c>
      <c r="C1227" t="inlineStr">
        <is>
          <t>Ain Diab</t>
        </is>
      </c>
      <c r="D1227" t="inlineStr">
        <is>
          <t>Casablanca</t>
        </is>
      </c>
      <c r="E1227" s="7" t="n">
        <v>11000000</v>
      </c>
      <c r="F1227" s="8" t="n">
        <v>488</v>
      </c>
      <c r="G1227" s="8" t="n"/>
      <c r="H1227" s="8" t="n"/>
      <c r="I1227" s="9">
        <f>IFERROR(E1227/F1227,"")</f>
        <v/>
      </c>
      <c r="J1227" t="n">
        <v>4</v>
      </c>
      <c r="K1227" t="n">
        <v>3</v>
      </c>
      <c r="P1227" t="inlineStr">
        <is>
          <t>LISTED</t>
        </is>
      </c>
      <c r="S1227" t="n">
        <v>33.58401341160214</v>
      </c>
      <c r="T1227" t="n">
        <v>-7.6824718709525</v>
      </c>
      <c r="U1227" s="7" t="n">
        <v>63283</v>
      </c>
      <c r="V1227" t="inlineStr"/>
      <c r="W1227" s="10" t="inlineStr">
        <is>
          <t>https://yakeey.com/fr-ma/achat/biens/176784</t>
        </is>
      </c>
    </row>
    <row r="1228">
      <c r="A1228" s="2" t="inlineStr">
        <is>
          <t>177542</t>
        </is>
      </c>
      <c r="B1228" s="2" t="inlineStr">
        <is>
          <t>VILLA</t>
        </is>
      </c>
      <c r="C1228" s="2" t="inlineStr">
        <is>
          <t>Californie</t>
        </is>
      </c>
      <c r="D1228" s="2" t="inlineStr">
        <is>
          <t>Casablanca</t>
        </is>
      </c>
      <c r="E1228" s="3" t="n">
        <v>15500000</v>
      </c>
      <c r="F1228" s="4" t="n">
        <v>1108</v>
      </c>
      <c r="G1228" s="4" t="n"/>
      <c r="H1228" s="4" t="n"/>
      <c r="I1228" s="5">
        <f>IFERROR(E1228/F1228,"")</f>
        <v/>
      </c>
      <c r="J1228" s="2" t="n">
        <v>5</v>
      </c>
      <c r="K1228" s="2" t="n">
        <v>4</v>
      </c>
      <c r="L1228" s="2" t="n"/>
      <c r="M1228" s="2" t="n"/>
      <c r="N1228" s="2" t="n"/>
      <c r="O1228" s="2" t="n"/>
      <c r="P1228" s="2" t="inlineStr">
        <is>
          <t>LISTED</t>
        </is>
      </c>
      <c r="Q1228" s="2" t="n"/>
      <c r="R1228" s="2" t="n"/>
      <c r="S1228" s="2" t="n">
        <v>33.53875818178233</v>
      </c>
      <c r="T1228" s="2" t="n">
        <v>-7.628623049363299</v>
      </c>
      <c r="U1228" s="3" t="n">
        <v>89172</v>
      </c>
      <c r="V1228" s="2" t="inlineStr"/>
      <c r="W1228" s="6" t="inlineStr">
        <is>
          <t>https://yakeey.com/fr-ma/achat/biens/177542</t>
        </is>
      </c>
    </row>
    <row r="1229">
      <c r="A1229" t="inlineStr">
        <is>
          <t>177898</t>
        </is>
      </c>
      <c r="B1229" t="inlineStr">
        <is>
          <t>VILLA</t>
        </is>
      </c>
      <c r="C1229" t="inlineStr">
        <is>
          <t>Casa Nearshore</t>
        </is>
      </c>
      <c r="D1229" t="inlineStr">
        <is>
          <t>Casablanca</t>
        </is>
      </c>
      <c r="E1229" s="7" t="n">
        <v>4500000</v>
      </c>
      <c r="F1229" s="8" t="n">
        <v>245</v>
      </c>
      <c r="G1229" s="8" t="n"/>
      <c r="H1229" s="8" t="n"/>
      <c r="I1229" s="9">
        <f>IFERROR(E1229/F1229,"")</f>
        <v/>
      </c>
      <c r="J1229" t="n">
        <v>5</v>
      </c>
      <c r="K1229" t="n">
        <v>4</v>
      </c>
      <c r="P1229" t="inlineStr">
        <is>
          <t>LISTED</t>
        </is>
      </c>
      <c r="S1229" t="n">
        <v>33.51466288471336</v>
      </c>
      <c r="T1229" t="n">
        <v>-7.638720161816352</v>
      </c>
      <c r="U1229" s="7" t="n">
        <v>25888</v>
      </c>
      <c r="V1229" t="inlineStr"/>
      <c r="W1229" s="10" t="inlineStr">
        <is>
          <t>https://yakeey.com/fr-ma/achat/biens/177898</t>
        </is>
      </c>
    </row>
    <row r="1230">
      <c r="A1230" s="2" t="inlineStr">
        <is>
          <t>178275</t>
        </is>
      </c>
      <c r="B1230" s="2" t="inlineStr">
        <is>
          <t>VILLA</t>
        </is>
      </c>
      <c r="C1230" s="2" t="inlineStr">
        <is>
          <t>Ain Diab</t>
        </is>
      </c>
      <c r="D1230" s="2" t="inlineStr">
        <is>
          <t>Casablanca</t>
        </is>
      </c>
      <c r="E1230" s="3" t="n">
        <v>6950000</v>
      </c>
      <c r="F1230" s="4" t="n">
        <v>270</v>
      </c>
      <c r="G1230" s="4" t="n"/>
      <c r="H1230" s="4" t="n"/>
      <c r="I1230" s="5">
        <f>IFERROR(E1230/F1230,"")</f>
        <v/>
      </c>
      <c r="J1230" s="2" t="n">
        <v>4</v>
      </c>
      <c r="K1230" s="2" t="n">
        <v>3</v>
      </c>
      <c r="L1230" s="2" t="n"/>
      <c r="M1230" s="2" t="n"/>
      <c r="N1230" s="2" t="n"/>
      <c r="O1230" s="2" t="n"/>
      <c r="P1230" s="2" t="inlineStr">
        <is>
          <t>LISTED</t>
        </is>
      </c>
      <c r="Q1230" s="2" t="n"/>
      <c r="R1230" s="2" t="n"/>
      <c r="S1230" s="2" t="n">
        <v>33.59992616914545</v>
      </c>
      <c r="T1230" s="2" t="n">
        <v>-7.655789892521614</v>
      </c>
      <c r="U1230" s="3" t="n">
        <v>39983</v>
      </c>
      <c r="V1230" s="2" t="inlineStr"/>
      <c r="W1230" s="6" t="inlineStr">
        <is>
          <t>https://yakeey.com/fr-ma/achat/biens/178275</t>
        </is>
      </c>
    </row>
    <row r="1231">
      <c r="A1231" t="inlineStr">
        <is>
          <t>178667</t>
        </is>
      </c>
      <c r="B1231" t="inlineStr">
        <is>
          <t>VILLA</t>
        </is>
      </c>
      <c r="C1231" t="inlineStr">
        <is>
          <t>Ain Chock</t>
        </is>
      </c>
      <c r="D1231" t="inlineStr">
        <is>
          <t>Casablanca</t>
        </is>
      </c>
      <c r="E1231" s="7" t="n">
        <v>2600000</v>
      </c>
      <c r="F1231" s="8" t="n">
        <v>149</v>
      </c>
      <c r="G1231" s="8" t="n"/>
      <c r="H1231" s="8" t="n"/>
      <c r="I1231" s="9">
        <f>IFERROR(E1231/F1231,"")</f>
        <v/>
      </c>
      <c r="J1231" t="n">
        <v>3</v>
      </c>
      <c r="K1231" t="n">
        <v>3</v>
      </c>
      <c r="P1231" t="inlineStr">
        <is>
          <t>LISTED</t>
        </is>
      </c>
      <c r="S1231" t="n">
        <v>33.55394189776003</v>
      </c>
      <c r="T1231" t="n">
        <v>-7.606262116600503</v>
      </c>
      <c r="U1231" s="7" t="n">
        <v>14957</v>
      </c>
      <c r="V1231" t="inlineStr"/>
      <c r="W1231" s="10" t="inlineStr">
        <is>
          <t>https://yakeey.com/fr-ma/achat/biens/178667</t>
        </is>
      </c>
    </row>
    <row r="1232">
      <c r="A1232" s="2" t="inlineStr">
        <is>
          <t>179488</t>
        </is>
      </c>
      <c r="B1232" s="2" t="inlineStr">
        <is>
          <t>VILLA</t>
        </is>
      </c>
      <c r="C1232" s="2" t="inlineStr">
        <is>
          <t>Californie</t>
        </is>
      </c>
      <c r="D1232" s="2" t="inlineStr">
        <is>
          <t>Casablanca</t>
        </is>
      </c>
      <c r="E1232" s="3" t="n">
        <v>16200000</v>
      </c>
      <c r="F1232" s="4" t="n">
        <v>885</v>
      </c>
      <c r="G1232" s="4" t="n"/>
      <c r="H1232" s="4" t="n"/>
      <c r="I1232" s="5">
        <f>IFERROR(E1232/F1232,"")</f>
        <v/>
      </c>
      <c r="J1232" s="2" t="n">
        <v>6</v>
      </c>
      <c r="K1232" s="2" t="n">
        <v>4</v>
      </c>
      <c r="L1232" s="2" t="n"/>
      <c r="M1232" s="2" t="n"/>
      <c r="N1232" s="2" t="n"/>
      <c r="O1232" s="2" t="n"/>
      <c r="P1232" s="2" t="inlineStr">
        <is>
          <t>LISTED</t>
        </is>
      </c>
      <c r="Q1232" s="2" t="n"/>
      <c r="R1232" s="2" t="n"/>
      <c r="S1232" s="2" t="n">
        <v>33.5105027029599</v>
      </c>
      <c r="T1232" s="2" t="n">
        <v>-7.61182318858951</v>
      </c>
      <c r="U1232" s="3" t="n">
        <v>93199</v>
      </c>
      <c r="V1232" s="2" t="inlineStr"/>
      <c r="W1232" s="6" t="inlineStr">
        <is>
          <t>https://yakeey.com/fr-ma/achat/biens/179488</t>
        </is>
      </c>
    </row>
    <row r="1233">
      <c r="A1233" t="inlineStr">
        <is>
          <t>180110</t>
        </is>
      </c>
      <c r="B1233" t="inlineStr">
        <is>
          <t>VILLA</t>
        </is>
      </c>
      <c r="C1233" t="inlineStr">
        <is>
          <t>Nassim</t>
        </is>
      </c>
      <c r="D1233" t="inlineStr">
        <is>
          <t>Casablanca</t>
        </is>
      </c>
      <c r="E1233" s="7" t="n">
        <v>5350000</v>
      </c>
      <c r="F1233" s="8" t="n">
        <v>294</v>
      </c>
      <c r="G1233" s="8" t="n"/>
      <c r="H1233" s="8" t="n"/>
      <c r="I1233" s="9">
        <f>IFERROR(E1233/F1233,"")</f>
        <v/>
      </c>
      <c r="J1233" t="n">
        <v>5</v>
      </c>
      <c r="K1233" t="n">
        <v>4</v>
      </c>
      <c r="P1233" t="inlineStr">
        <is>
          <t>LISTED</t>
        </is>
      </c>
      <c r="S1233" t="n">
        <v>33.51687438721932</v>
      </c>
      <c r="T1233" t="n">
        <v>-7.67008064913727</v>
      </c>
      <c r="U1233" s="7" t="n">
        <v>30778</v>
      </c>
      <c r="V1233" t="inlineStr"/>
      <c r="W1233" s="10" t="inlineStr">
        <is>
          <t>https://yakeey.com/fr-ma/achat/biens/180110</t>
        </is>
      </c>
    </row>
    <row r="1234">
      <c r="A1234" s="2" t="inlineStr">
        <is>
          <t>180429</t>
        </is>
      </c>
      <c r="B1234" s="2" t="inlineStr">
        <is>
          <t>VILLA</t>
        </is>
      </c>
      <c r="C1234" s="2" t="inlineStr">
        <is>
          <t>Casa Nearshore</t>
        </is>
      </c>
      <c r="D1234" s="2" t="inlineStr">
        <is>
          <t>Casablanca</t>
        </is>
      </c>
      <c r="E1234" s="3" t="n">
        <v>7000000</v>
      </c>
      <c r="F1234" s="4" t="n">
        <v>439</v>
      </c>
      <c r="G1234" s="4" t="n"/>
      <c r="H1234" s="4" t="n"/>
      <c r="I1234" s="5">
        <f>IFERROR(E1234/F1234,"")</f>
        <v/>
      </c>
      <c r="J1234" s="2" t="n">
        <v>5</v>
      </c>
      <c r="K1234" s="2" t="n">
        <v>4</v>
      </c>
      <c r="L1234" s="2" t="n"/>
      <c r="M1234" s="2" t="n"/>
      <c r="N1234" s="2" t="n"/>
      <c r="O1234" s="2" t="n"/>
      <c r="P1234" s="2" t="inlineStr">
        <is>
          <t>LISTED</t>
        </is>
      </c>
      <c r="Q1234" s="2" t="n"/>
      <c r="R1234" s="2" t="n"/>
      <c r="S1234" s="2" t="n">
        <v>33.53176242388436</v>
      </c>
      <c r="T1234" s="2" t="n">
        <v>-7.650762094589895</v>
      </c>
      <c r="U1234" s="3" t="n">
        <v>40271</v>
      </c>
      <c r="V1234" s="2" t="inlineStr"/>
      <c r="W1234" s="6" t="inlineStr">
        <is>
          <t>https://yakeey.com/fr-ma/achat/biens/180429</t>
        </is>
      </c>
    </row>
    <row r="1235">
      <c r="A1235" t="inlineStr">
        <is>
          <t>182786</t>
        </is>
      </c>
      <c r="B1235" t="inlineStr">
        <is>
          <t>VILLA</t>
        </is>
      </c>
      <c r="C1235" t="inlineStr">
        <is>
          <t>Ain Diab</t>
        </is>
      </c>
      <c r="D1235" t="inlineStr">
        <is>
          <t>Casablanca</t>
        </is>
      </c>
      <c r="E1235" s="7" t="n">
        <v>8350000</v>
      </c>
      <c r="F1235" s="8" t="n">
        <v>341</v>
      </c>
      <c r="G1235" s="8" t="n"/>
      <c r="H1235" s="8" t="n"/>
      <c r="I1235" s="9">
        <f>IFERROR(E1235/F1235,"")</f>
        <v/>
      </c>
      <c r="J1235" t="n">
        <v>4</v>
      </c>
      <c r="K1235" t="n">
        <v>3</v>
      </c>
      <c r="P1235" t="inlineStr">
        <is>
          <t>LISTED</t>
        </is>
      </c>
      <c r="S1235" t="n">
        <v>33.57066658219339</v>
      </c>
      <c r="T1235" t="n">
        <v>-7.69619248516229</v>
      </c>
      <c r="U1235" s="7" t="n">
        <v>48038</v>
      </c>
      <c r="V1235" t="inlineStr"/>
      <c r="W1235" s="10" t="inlineStr">
        <is>
          <t>https://yakeey.com/fr-ma/achat/biens/182786</t>
        </is>
      </c>
    </row>
    <row r="1236">
      <c r="A1236" s="2" t="inlineStr">
        <is>
          <t>182841</t>
        </is>
      </c>
      <c r="B1236" s="2" t="inlineStr">
        <is>
          <t>VILLA</t>
        </is>
      </c>
      <c r="C1236" s="2" t="inlineStr">
        <is>
          <t>Sidi Maarouf</t>
        </is>
      </c>
      <c r="D1236" s="2" t="inlineStr">
        <is>
          <t>Casablanca</t>
        </is>
      </c>
      <c r="E1236" s="3" t="n">
        <v>7600000</v>
      </c>
      <c r="F1236" s="4" t="n">
        <v>616</v>
      </c>
      <c r="G1236" s="4" t="n"/>
      <c r="H1236" s="4" t="n"/>
      <c r="I1236" s="5">
        <f>IFERROR(E1236/F1236,"")</f>
        <v/>
      </c>
      <c r="J1236" s="2" t="n">
        <v>6</v>
      </c>
      <c r="K1236" s="2" t="n">
        <v>3</v>
      </c>
      <c r="L1236" s="2" t="n"/>
      <c r="M1236" s="2" t="n"/>
      <c r="N1236" s="2" t="n"/>
      <c r="O1236" s="2" t="n"/>
      <c r="P1236" s="2" t="inlineStr">
        <is>
          <t>LISTED</t>
        </is>
      </c>
      <c r="Q1236" s="2" t="n"/>
      <c r="R1236" s="2" t="n"/>
      <c r="S1236" s="2" t="n">
        <v>33.52211918890243</v>
      </c>
      <c r="T1236" s="2" t="n">
        <v>-7.647313254192139</v>
      </c>
      <c r="U1236" s="3" t="n">
        <v>43723</v>
      </c>
      <c r="V1236" s="2" t="inlineStr"/>
      <c r="W1236" s="6" t="inlineStr">
        <is>
          <t>https://yakeey.com/fr-ma/achat/biens/182841</t>
        </is>
      </c>
    </row>
    <row r="1237">
      <c r="A1237" t="inlineStr">
        <is>
          <t>183781</t>
        </is>
      </c>
      <c r="B1237" t="inlineStr">
        <is>
          <t>VILLA</t>
        </is>
      </c>
      <c r="C1237" t="inlineStr">
        <is>
          <t>Californie</t>
        </is>
      </c>
      <c r="D1237" t="inlineStr">
        <is>
          <t>Casablanca</t>
        </is>
      </c>
      <c r="E1237" s="7" t="n">
        <v>10300000</v>
      </c>
      <c r="F1237" s="8" t="n">
        <v>594</v>
      </c>
      <c r="G1237" s="8" t="n"/>
      <c r="H1237" s="8" t="n"/>
      <c r="I1237" s="9">
        <f>IFERROR(E1237/F1237,"")</f>
        <v/>
      </c>
      <c r="J1237" t="n">
        <v>4</v>
      </c>
      <c r="K1237" t="n">
        <v>6</v>
      </c>
      <c r="P1237" t="inlineStr">
        <is>
          <t>LISTED</t>
        </is>
      </c>
      <c r="S1237" t="n">
        <v>33.54672778639619</v>
      </c>
      <c r="T1237" t="n">
        <v>-7.621886446519607</v>
      </c>
      <c r="U1237" s="7" t="n">
        <v>59256</v>
      </c>
      <c r="V1237" t="inlineStr"/>
      <c r="W1237" s="10" t="inlineStr">
        <is>
          <t>https://yakeey.com/fr-ma/achat/biens/183781</t>
        </is>
      </c>
    </row>
    <row r="1238">
      <c r="A1238" s="2" t="inlineStr">
        <is>
          <t>184683</t>
        </is>
      </c>
      <c r="B1238" s="2" t="inlineStr">
        <is>
          <t>VILLA</t>
        </is>
      </c>
      <c r="C1238" s="2" t="inlineStr">
        <is>
          <t>Oulfa</t>
        </is>
      </c>
      <c r="D1238" s="2" t="inlineStr">
        <is>
          <t>Casablanca</t>
        </is>
      </c>
      <c r="E1238" s="3" t="n">
        <v>2800000</v>
      </c>
      <c r="F1238" s="4" t="n">
        <v>81</v>
      </c>
      <c r="G1238" s="4" t="n"/>
      <c r="H1238" s="4" t="n"/>
      <c r="I1238" s="5">
        <f>IFERROR(E1238/F1238,"")</f>
        <v/>
      </c>
      <c r="J1238" s="2" t="n">
        <v>4</v>
      </c>
      <c r="K1238" s="2" t="n">
        <v>3</v>
      </c>
      <c r="L1238" s="2" t="n"/>
      <c r="M1238" s="2" t="n"/>
      <c r="N1238" s="2" t="n"/>
      <c r="O1238" s="2" t="n"/>
      <c r="P1238" s="2" t="inlineStr">
        <is>
          <t>LISTED</t>
        </is>
      </c>
      <c r="Q1238" s="2" t="n"/>
      <c r="R1238" s="2" t="n"/>
      <c r="S1238" s="2" t="n">
        <v>33.54761310388858</v>
      </c>
      <c r="T1238" s="2" t="n">
        <v>-7.680065720924282</v>
      </c>
      <c r="U1238" s="3" t="n">
        <v>16108</v>
      </c>
      <c r="V1238" s="2" t="inlineStr"/>
      <c r="W1238" s="6" t="inlineStr">
        <is>
          <t>https://yakeey.com/fr-ma/achat/biens/184683</t>
        </is>
      </c>
    </row>
    <row r="1239">
      <c r="A1239" t="inlineStr">
        <is>
          <t>185767</t>
        </is>
      </c>
      <c r="B1239" t="inlineStr">
        <is>
          <t>VILLA</t>
        </is>
      </c>
      <c r="C1239" t="inlineStr">
        <is>
          <t>Oulfa</t>
        </is>
      </c>
      <c r="D1239" t="inlineStr">
        <is>
          <t>Casablanca</t>
        </is>
      </c>
      <c r="E1239" s="7" t="n">
        <v>3340000</v>
      </c>
      <c r="F1239" s="8" t="n">
        <v>243</v>
      </c>
      <c r="G1239" s="8" t="n"/>
      <c r="H1239" s="8" t="n"/>
      <c r="I1239" s="9">
        <f>IFERROR(E1239/F1239,"")</f>
        <v/>
      </c>
      <c r="J1239" t="n">
        <v>6</v>
      </c>
      <c r="K1239" t="n">
        <v>3</v>
      </c>
      <c r="P1239" t="inlineStr">
        <is>
          <t>LISTED</t>
        </is>
      </c>
      <c r="S1239" t="n">
        <v>33.54413609685315</v>
      </c>
      <c r="T1239" t="n">
        <v>-7.697198274494757</v>
      </c>
      <c r="U1239" s="7" t="n">
        <v>19215</v>
      </c>
      <c r="V1239" t="inlineStr"/>
      <c r="W1239" s="10" t="inlineStr">
        <is>
          <t>https://yakeey.com/fr-ma/achat/biens/185767</t>
        </is>
      </c>
    </row>
    <row r="1240">
      <c r="A1240" s="2" t="inlineStr">
        <is>
          <t>185808</t>
        </is>
      </c>
      <c r="B1240" s="2" t="inlineStr">
        <is>
          <t>VILLA</t>
        </is>
      </c>
      <c r="C1240" s="2" t="inlineStr">
        <is>
          <t>Californie</t>
        </is>
      </c>
      <c r="D1240" s="2" t="inlineStr">
        <is>
          <t>Casablanca</t>
        </is>
      </c>
      <c r="E1240" s="3" t="n">
        <v>9900000</v>
      </c>
      <c r="F1240" s="4" t="n">
        <v>462</v>
      </c>
      <c r="G1240" s="4" t="n"/>
      <c r="H1240" s="4" t="n"/>
      <c r="I1240" s="5">
        <f>IFERROR(E1240/F1240,"")</f>
        <v/>
      </c>
      <c r="J1240" s="2" t="n">
        <v>5</v>
      </c>
      <c r="K1240" s="2" t="n">
        <v>4</v>
      </c>
      <c r="L1240" s="2" t="n"/>
      <c r="M1240" s="2" t="n"/>
      <c r="N1240" s="2" t="n"/>
      <c r="O1240" s="2" t="n"/>
      <c r="P1240" s="2" t="inlineStr">
        <is>
          <t>LISTED</t>
        </is>
      </c>
      <c r="Q1240" s="2" t="n"/>
      <c r="R1240" s="2" t="n"/>
      <c r="S1240" s="2" t="n">
        <v>33.52414500928158</v>
      </c>
      <c r="T1240" s="2" t="n">
        <v>-7.629855524544312</v>
      </c>
      <c r="U1240" s="3" t="n">
        <v>56955</v>
      </c>
      <c r="V1240" s="2" t="inlineStr"/>
      <c r="W1240" s="6" t="inlineStr">
        <is>
          <t>https://yakeey.com/fr-ma/achat/biens/185808</t>
        </is>
      </c>
    </row>
    <row r="1241">
      <c r="A1241" t="inlineStr">
        <is>
          <t>186111</t>
        </is>
      </c>
      <c r="B1241" t="inlineStr">
        <is>
          <t>VILLA</t>
        </is>
      </c>
      <c r="C1241" t="inlineStr">
        <is>
          <t>Polo (Ain Chok)</t>
        </is>
      </c>
      <c r="D1241" t="inlineStr">
        <is>
          <t>Casablanca</t>
        </is>
      </c>
      <c r="E1241" s="7" t="n">
        <v>13000000</v>
      </c>
      <c r="F1241" s="8" t="n">
        <v>601</v>
      </c>
      <c r="G1241" s="8" t="n"/>
      <c r="H1241" s="8" t="n"/>
      <c r="I1241" s="9">
        <f>IFERROR(E1241/F1241,"")</f>
        <v/>
      </c>
      <c r="J1241" t="n">
        <v>7</v>
      </c>
      <c r="K1241" t="n">
        <v>6</v>
      </c>
      <c r="P1241" t="inlineStr">
        <is>
          <t>LISTED</t>
        </is>
      </c>
      <c r="S1241" t="n">
        <v>33.54992462256779</v>
      </c>
      <c r="T1241" t="n">
        <v>-7.618765062653783</v>
      </c>
      <c r="U1241" s="7" t="n">
        <v>74789</v>
      </c>
      <c r="V1241" t="inlineStr"/>
      <c r="W1241" s="10" t="inlineStr">
        <is>
          <t>https://yakeey.com/fr-ma/achat/biens/186111</t>
        </is>
      </c>
    </row>
    <row r="1242">
      <c r="A1242" s="2" t="inlineStr">
        <is>
          <t>186585</t>
        </is>
      </c>
      <c r="B1242" s="2" t="inlineStr">
        <is>
          <t>VILLA</t>
        </is>
      </c>
      <c r="C1242" s="2" t="inlineStr">
        <is>
          <t>Ain Diab</t>
        </is>
      </c>
      <c r="D1242" s="2" t="inlineStr">
        <is>
          <t>Casablanca</t>
        </is>
      </c>
      <c r="E1242" s="3" t="n">
        <v>8600000</v>
      </c>
      <c r="F1242" s="4" t="n">
        <v>321</v>
      </c>
      <c r="G1242" s="4" t="n"/>
      <c r="H1242" s="4" t="n"/>
      <c r="I1242" s="5">
        <f>IFERROR(E1242/F1242,"")</f>
        <v/>
      </c>
      <c r="J1242" s="2" t="n">
        <v>4</v>
      </c>
      <c r="K1242" s="2" t="n">
        <v>3</v>
      </c>
      <c r="L1242" s="2" t="n"/>
      <c r="M1242" s="2" t="n"/>
      <c r="N1242" s="2" t="n"/>
      <c r="O1242" s="2" t="n"/>
      <c r="P1242" s="2" t="inlineStr">
        <is>
          <t>LISTED</t>
        </is>
      </c>
      <c r="Q1242" s="2" t="n"/>
      <c r="R1242" s="2" t="n"/>
      <c r="S1242" s="2" t="n">
        <v>33.58838601061336</v>
      </c>
      <c r="T1242" s="2" t="n">
        <v>-7.674066462765464</v>
      </c>
      <c r="U1242" s="3" t="n">
        <v>49476</v>
      </c>
      <c r="V1242" s="2" t="inlineStr"/>
      <c r="W1242" s="6" t="inlineStr">
        <is>
          <t>https://yakeey.com/fr-ma/achat/biens/186585</t>
        </is>
      </c>
    </row>
    <row r="1243">
      <c r="A1243" t="inlineStr">
        <is>
          <t>187054</t>
        </is>
      </c>
      <c r="B1243" t="inlineStr">
        <is>
          <t>VILLA</t>
        </is>
      </c>
      <c r="C1243" t="inlineStr">
        <is>
          <t>Oasis</t>
        </is>
      </c>
      <c r="D1243" t="inlineStr">
        <is>
          <t>Casablanca</t>
        </is>
      </c>
      <c r="E1243" s="7" t="n">
        <v>13250000</v>
      </c>
      <c r="F1243" s="8" t="n">
        <v>685</v>
      </c>
      <c r="G1243" s="8" t="n"/>
      <c r="H1243" s="8" t="n"/>
      <c r="I1243" s="9">
        <f>IFERROR(E1243/F1243,"")</f>
        <v/>
      </c>
      <c r="J1243" t="n">
        <v>6</v>
      </c>
      <c r="K1243" t="n">
        <v>3</v>
      </c>
      <c r="P1243" t="inlineStr">
        <is>
          <t>LISTED</t>
        </is>
      </c>
      <c r="S1243" t="n">
        <v>33.56082453525604</v>
      </c>
      <c r="T1243" t="n">
        <v>-7.632369883132927</v>
      </c>
      <c r="U1243" s="7" t="n">
        <v>76228</v>
      </c>
      <c r="V1243" t="inlineStr"/>
      <c r="W1243" s="10" t="inlineStr">
        <is>
          <t>https://yakeey.com/fr-ma/achat/biens/187054</t>
        </is>
      </c>
    </row>
    <row r="1244">
      <c r="A1244" s="2" t="inlineStr">
        <is>
          <t>189335</t>
        </is>
      </c>
      <c r="B1244" s="2" t="inlineStr">
        <is>
          <t>VILLA</t>
        </is>
      </c>
      <c r="C1244" s="2" t="inlineStr">
        <is>
          <t>Ain Diab</t>
        </is>
      </c>
      <c r="D1244" s="2" t="inlineStr">
        <is>
          <t>Casablanca</t>
        </is>
      </c>
      <c r="E1244" s="3" t="n">
        <v>26000000</v>
      </c>
      <c r="F1244" s="4" t="n">
        <v>783</v>
      </c>
      <c r="G1244" s="4" t="n"/>
      <c r="H1244" s="4" t="n"/>
      <c r="I1244" s="5">
        <f>IFERROR(E1244/F1244,"")</f>
        <v/>
      </c>
      <c r="J1244" s="2" t="n">
        <v>4</v>
      </c>
      <c r="K1244" s="2" t="n">
        <v>3</v>
      </c>
      <c r="L1244" s="2" t="n"/>
      <c r="M1244" s="2" t="n"/>
      <c r="N1244" s="2" t="n"/>
      <c r="O1244" s="2" t="n"/>
      <c r="P1244" s="2" t="inlineStr">
        <is>
          <t>LISTED</t>
        </is>
      </c>
      <c r="Q1244" s="2" t="n"/>
      <c r="R1244" s="2" t="n"/>
      <c r="S1244" s="2" t="n">
        <v>33.57544840771429</v>
      </c>
      <c r="T1244" s="2" t="n">
        <v>-7.686725253039191</v>
      </c>
      <c r="U1244" s="3" t="n">
        <v>149579</v>
      </c>
      <c r="V1244" s="2" t="inlineStr"/>
      <c r="W1244" s="6" t="inlineStr">
        <is>
          <t>https://yakeey.com/fr-ma/achat/biens/189335</t>
        </is>
      </c>
    </row>
    <row r="1245">
      <c r="A1245" t="inlineStr">
        <is>
          <t>189399</t>
        </is>
      </c>
      <c r="B1245" t="inlineStr">
        <is>
          <t>VILLA</t>
        </is>
      </c>
      <c r="C1245" t="inlineStr">
        <is>
          <t>Les Princesses</t>
        </is>
      </c>
      <c r="D1245" t="inlineStr">
        <is>
          <t>Casablanca</t>
        </is>
      </c>
      <c r="E1245" s="7" t="n">
        <v>13000000</v>
      </c>
      <c r="F1245" s="8" t="n">
        <v>510</v>
      </c>
      <c r="G1245" s="8" t="n"/>
      <c r="H1245" s="8" t="n"/>
      <c r="I1245" s="9">
        <f>IFERROR(E1245/F1245,"")</f>
        <v/>
      </c>
      <c r="J1245" t="n">
        <v>4</v>
      </c>
      <c r="K1245" t="n">
        <v>3</v>
      </c>
      <c r="P1245" t="inlineStr">
        <is>
          <t>LISTED</t>
        </is>
      </c>
      <c r="S1245" t="n">
        <v>33.5792710120802</v>
      </c>
      <c r="T1245" t="n">
        <v>-7.649757843047637</v>
      </c>
      <c r="U1245" s="7" t="n">
        <v>74789</v>
      </c>
      <c r="V1245" t="inlineStr"/>
      <c r="W1245" s="10" t="inlineStr">
        <is>
          <t>https://yakeey.com/fr-ma/achat/biens/189399</t>
        </is>
      </c>
    </row>
    <row r="1246">
      <c r="A1246" s="2" t="inlineStr">
        <is>
          <t>20809</t>
        </is>
      </c>
      <c r="B1246" s="2" t="inlineStr">
        <is>
          <t>VILLA</t>
        </is>
      </c>
      <c r="C1246" s="2" t="inlineStr">
        <is>
          <t>Polo (Ain Chok)</t>
        </is>
      </c>
      <c r="D1246" s="2" t="inlineStr">
        <is>
          <t>Casablanca</t>
        </is>
      </c>
      <c r="E1246" s="3" t="n">
        <v>12834500</v>
      </c>
      <c r="F1246" s="4" t="n">
        <v>1351</v>
      </c>
      <c r="G1246" s="4" t="n"/>
      <c r="H1246" s="4" t="n"/>
      <c r="I1246" s="5">
        <f>IFERROR(E1246/F1246,"")</f>
        <v/>
      </c>
      <c r="J1246" s="2" t="n">
        <v>5</v>
      </c>
      <c r="K1246" s="2" t="n">
        <v>3</v>
      </c>
      <c r="L1246" s="2" t="n"/>
      <c r="M1246" s="2" t="n"/>
      <c r="N1246" s="2" t="n"/>
      <c r="O1246" s="2" t="n"/>
      <c r="P1246" s="2" t="inlineStr">
        <is>
          <t>LISTED</t>
        </is>
      </c>
      <c r="Q1246" s="2" t="n"/>
      <c r="R1246" s="2" t="n"/>
      <c r="S1246" s="2" t="n">
        <v>33.54960295120912</v>
      </c>
      <c r="T1246" s="2" t="n">
        <v>-7.620783321843149</v>
      </c>
      <c r="U1246" s="3" t="n">
        <v>73837</v>
      </c>
      <c r="V1246" s="2" t="inlineStr"/>
      <c r="W1246" s="6" t="inlineStr">
        <is>
          <t>https://yakeey.com/fr-ma/achat/biens/20809</t>
        </is>
      </c>
    </row>
    <row r="1247">
      <c r="A1247" t="inlineStr">
        <is>
          <t>21262</t>
        </is>
      </c>
      <c r="B1247" t="inlineStr">
        <is>
          <t>VILLA</t>
        </is>
      </c>
      <c r="C1247" t="inlineStr">
        <is>
          <t>Longchamps</t>
        </is>
      </c>
      <c r="D1247" t="inlineStr">
        <is>
          <t>Casablanca</t>
        </is>
      </c>
      <c r="E1247" s="7" t="n">
        <v>7500000</v>
      </c>
      <c r="F1247" s="8" t="n">
        <v>414</v>
      </c>
      <c r="G1247" s="8" t="n"/>
      <c r="H1247" s="8" t="n"/>
      <c r="I1247" s="9">
        <f>IFERROR(E1247/F1247,"")</f>
        <v/>
      </c>
      <c r="J1247" t="n">
        <v>6</v>
      </c>
      <c r="K1247" t="n">
        <v>3</v>
      </c>
      <c r="P1247" t="inlineStr">
        <is>
          <t>LISTED</t>
        </is>
      </c>
      <c r="S1247" t="n">
        <v>33.57678273440426</v>
      </c>
      <c r="T1247" t="n">
        <v>-7.671651200035484</v>
      </c>
      <c r="U1247" s="7" t="n">
        <v>43147</v>
      </c>
      <c r="V1247" t="inlineStr"/>
      <c r="W1247" s="10" t="inlineStr">
        <is>
          <t>https://yakeey.com/fr-ma/achat/biens/21262</t>
        </is>
      </c>
    </row>
    <row r="1248">
      <c r="A1248" s="2" t="inlineStr">
        <is>
          <t>21570</t>
        </is>
      </c>
      <c r="B1248" s="2" t="inlineStr">
        <is>
          <t>VILLA</t>
        </is>
      </c>
      <c r="C1248" s="2" t="inlineStr">
        <is>
          <t>El Hank</t>
        </is>
      </c>
      <c r="D1248" s="2" t="inlineStr">
        <is>
          <t>Casablanca</t>
        </is>
      </c>
      <c r="E1248" s="3" t="n">
        <v>23500000</v>
      </c>
      <c r="F1248" s="4" t="n">
        <v>837</v>
      </c>
      <c r="G1248" s="4" t="n"/>
      <c r="H1248" s="4" t="n"/>
      <c r="I1248" s="5">
        <f>IFERROR(E1248/F1248,"")</f>
        <v/>
      </c>
      <c r="J1248" s="2" t="n">
        <v>4</v>
      </c>
      <c r="K1248" s="2" t="n">
        <v>3</v>
      </c>
      <c r="L1248" s="2" t="n"/>
      <c r="M1248" s="2" t="n"/>
      <c r="N1248" s="2" t="n"/>
      <c r="O1248" s="2" t="n"/>
      <c r="P1248" s="2" t="inlineStr">
        <is>
          <t>LISTED</t>
        </is>
      </c>
      <c r="Q1248" s="2" t="n"/>
      <c r="R1248" s="2" t="n"/>
      <c r="S1248" s="2" t="n">
        <v>33.60251643891753</v>
      </c>
      <c r="T1248" s="2" t="n">
        <v>-7.657081349029189</v>
      </c>
      <c r="U1248" s="3" t="n">
        <v>135196</v>
      </c>
      <c r="V1248" s="2" t="inlineStr"/>
      <c r="W1248" s="6" t="inlineStr">
        <is>
          <t>https://yakeey.com/fr-ma/achat/biens/21570</t>
        </is>
      </c>
    </row>
    <row r="1249">
      <c r="A1249" t="inlineStr">
        <is>
          <t>21660</t>
        </is>
      </c>
      <c r="B1249" t="inlineStr">
        <is>
          <t>VILLA</t>
        </is>
      </c>
      <c r="C1249" t="inlineStr">
        <is>
          <t>Anfa Superieur</t>
        </is>
      </c>
      <c r="D1249" t="inlineStr">
        <is>
          <t>Casablanca</t>
        </is>
      </c>
      <c r="E1249" s="7" t="n">
        <v>28000000</v>
      </c>
      <c r="F1249" s="8" t="n">
        <v>1711</v>
      </c>
      <c r="G1249" s="8" t="n"/>
      <c r="H1249" s="8" t="n"/>
      <c r="I1249" s="9">
        <f>IFERROR(E1249/F1249,"")</f>
        <v/>
      </c>
      <c r="J1249" t="n">
        <v>4</v>
      </c>
      <c r="K1249" t="n">
        <v>3</v>
      </c>
      <c r="P1249" t="inlineStr">
        <is>
          <t>LISTED</t>
        </is>
      </c>
      <c r="S1249" t="n">
        <v>33.59591921470057</v>
      </c>
      <c r="T1249" t="n">
        <v>-7.662445543802324</v>
      </c>
      <c r="U1249" s="7" t="n">
        <v>161085</v>
      </c>
      <c r="V1249" t="inlineStr"/>
      <c r="W1249" s="10" t="inlineStr">
        <is>
          <t>https://yakeey.com/fr-ma/achat/biens/21660</t>
        </is>
      </c>
    </row>
    <row r="1250">
      <c r="A1250" s="2" t="inlineStr">
        <is>
          <t>22749</t>
        </is>
      </c>
      <c r="B1250" s="2" t="inlineStr">
        <is>
          <t>VILLA</t>
        </is>
      </c>
      <c r="C1250" s="2" t="inlineStr">
        <is>
          <t>Sindibad</t>
        </is>
      </c>
      <c r="D1250" s="2" t="inlineStr">
        <is>
          <t>Casablanca</t>
        </is>
      </c>
      <c r="E1250" s="3" t="n">
        <v>13000000</v>
      </c>
      <c r="F1250" s="4" t="n">
        <v>717</v>
      </c>
      <c r="G1250" s="4" t="n"/>
      <c r="H1250" s="4" t="n"/>
      <c r="I1250" s="5">
        <f>IFERROR(E1250/F1250,"")</f>
        <v/>
      </c>
      <c r="J1250" s="2" t="n">
        <v>6</v>
      </c>
      <c r="K1250" s="2" t="n">
        <v>6</v>
      </c>
      <c r="L1250" s="2" t="n"/>
      <c r="M1250" s="2" t="n"/>
      <c r="N1250" s="2" t="n"/>
      <c r="O1250" s="2" t="n"/>
      <c r="P1250" s="2" t="inlineStr">
        <is>
          <t>LISTED</t>
        </is>
      </c>
      <c r="Q1250" s="2" t="n"/>
      <c r="R1250" s="2" t="n"/>
      <c r="S1250" s="2" t="n">
        <v>33.57695448804528</v>
      </c>
      <c r="T1250" s="2" t="n">
        <v>-7.678639429172236</v>
      </c>
      <c r="U1250" s="3" t="n">
        <v>74789</v>
      </c>
      <c r="V1250" s="2" t="inlineStr"/>
      <c r="W1250" s="6" t="inlineStr">
        <is>
          <t>https://yakeey.com/fr-ma/achat/biens/22749</t>
        </is>
      </c>
    </row>
    <row r="1251">
      <c r="A1251" t="inlineStr">
        <is>
          <t>22960</t>
        </is>
      </c>
      <c r="B1251" t="inlineStr">
        <is>
          <t>VILLA</t>
        </is>
      </c>
      <c r="C1251" t="inlineStr">
        <is>
          <t>Sidi Maarouf</t>
        </is>
      </c>
      <c r="D1251" t="inlineStr">
        <is>
          <t>Casablanca</t>
        </is>
      </c>
      <c r="E1251" s="7" t="n">
        <v>6000000</v>
      </c>
      <c r="F1251" s="8" t="n">
        <v>385</v>
      </c>
      <c r="G1251" s="8" t="n"/>
      <c r="H1251" s="8" t="n"/>
      <c r="I1251" s="9">
        <f>IFERROR(E1251/F1251,"")</f>
        <v/>
      </c>
      <c r="J1251" t="n">
        <v>4</v>
      </c>
      <c r="K1251" t="n">
        <v>3</v>
      </c>
      <c r="P1251" t="inlineStr">
        <is>
          <t>LISTED</t>
        </is>
      </c>
      <c r="S1251" t="n">
        <v>33.52126931740986</v>
      </c>
      <c r="T1251" t="n">
        <v>-7.641871172619278</v>
      </c>
      <c r="U1251" s="7" t="n">
        <v>34518</v>
      </c>
      <c r="V1251" t="inlineStr"/>
      <c r="W1251" s="10" t="inlineStr">
        <is>
          <t>https://yakeey.com/fr-ma/achat/biens/22960</t>
        </is>
      </c>
    </row>
    <row r="1252">
      <c r="A1252" s="2" t="inlineStr">
        <is>
          <t>25005</t>
        </is>
      </c>
      <c r="B1252" s="2" t="inlineStr">
        <is>
          <t>VILLA</t>
        </is>
      </c>
      <c r="C1252" s="2" t="inlineStr">
        <is>
          <t>Bouskoura</t>
        </is>
      </c>
      <c r="D1252" s="2" t="inlineStr">
        <is>
          <t>Bouskoura</t>
        </is>
      </c>
      <c r="E1252" s="3" t="n">
        <v>6350000</v>
      </c>
      <c r="F1252" s="4" t="n">
        <v>785</v>
      </c>
      <c r="G1252" s="4" t="n"/>
      <c r="H1252" s="4" t="n"/>
      <c r="I1252" s="5">
        <f>IFERROR(E1252/F1252,"")</f>
        <v/>
      </c>
      <c r="J1252" s="2" t="n">
        <v>4</v>
      </c>
      <c r="K1252" s="2" t="n">
        <v>4</v>
      </c>
      <c r="L1252" s="2" t="n"/>
      <c r="M1252" s="2" t="n"/>
      <c r="N1252" s="2" t="n"/>
      <c r="O1252" s="2" t="n"/>
      <c r="P1252" s="2" t="inlineStr">
        <is>
          <t>LISTED</t>
        </is>
      </c>
      <c r="Q1252" s="2" t="n"/>
      <c r="R1252" s="2" t="n"/>
      <c r="S1252" s="2" t="n">
        <v>33.40715865250105</v>
      </c>
      <c r="T1252" s="2" t="n">
        <v>-7.623157397532359</v>
      </c>
      <c r="U1252" s="3" t="n">
        <v>36531</v>
      </c>
      <c r="V1252" s="2" t="inlineStr"/>
      <c r="W1252" s="6" t="inlineStr">
        <is>
          <t>https://yakeey.com/fr-ma/achat/biens/25005</t>
        </is>
      </c>
    </row>
    <row r="1253">
      <c r="A1253" t="inlineStr">
        <is>
          <t>2737</t>
        </is>
      </c>
      <c r="B1253" t="inlineStr">
        <is>
          <t>VILLA</t>
        </is>
      </c>
      <c r="C1253" t="inlineStr">
        <is>
          <t>Californie</t>
        </is>
      </c>
      <c r="D1253" t="inlineStr">
        <is>
          <t>Casablanca</t>
        </is>
      </c>
      <c r="E1253" s="7" t="n">
        <v>10000000</v>
      </c>
      <c r="F1253" s="8" t="n">
        <v>810</v>
      </c>
      <c r="G1253" s="8" t="n"/>
      <c r="H1253" s="8" t="n"/>
      <c r="I1253" s="9">
        <f>IFERROR(E1253/F1253,"")</f>
        <v/>
      </c>
      <c r="J1253" t="n">
        <v>12</v>
      </c>
      <c r="K1253" t="n">
        <v>7</v>
      </c>
      <c r="P1253" t="inlineStr">
        <is>
          <t>LISTED</t>
        </is>
      </c>
      <c r="S1253" t="n">
        <v>33.54580359891393</v>
      </c>
      <c r="T1253" t="n">
        <v>-7.62790860418298</v>
      </c>
      <c r="U1253" s="7" t="n">
        <v>57530</v>
      </c>
      <c r="V1253" t="inlineStr"/>
      <c r="W1253" s="10" t="inlineStr">
        <is>
          <t>https://yakeey.com/fr-ma/achat/biens/2737</t>
        </is>
      </c>
    </row>
    <row r="1254">
      <c r="A1254" s="2" t="inlineStr">
        <is>
          <t>31010</t>
        </is>
      </c>
      <c r="B1254" s="2" t="inlineStr">
        <is>
          <t>VILLA</t>
        </is>
      </c>
      <c r="C1254" s="2" t="inlineStr">
        <is>
          <t>Oulfa</t>
        </is>
      </c>
      <c r="D1254" s="2" t="inlineStr">
        <is>
          <t>Casablanca</t>
        </is>
      </c>
      <c r="E1254" s="3" t="n">
        <v>3000000</v>
      </c>
      <c r="F1254" s="4" t="n">
        <v>170</v>
      </c>
      <c r="G1254" s="4" t="n"/>
      <c r="H1254" s="4" t="n"/>
      <c r="I1254" s="5">
        <f>IFERROR(E1254/F1254,"")</f>
        <v/>
      </c>
      <c r="J1254" s="2" t="n">
        <v>5</v>
      </c>
      <c r="K1254" s="2" t="n">
        <v>3</v>
      </c>
      <c r="L1254" s="2" t="n"/>
      <c r="M1254" s="2" t="n"/>
      <c r="N1254" s="2" t="n"/>
      <c r="O1254" s="2" t="n"/>
      <c r="P1254" s="2" t="inlineStr">
        <is>
          <t>LISTED</t>
        </is>
      </c>
      <c r="Q1254" s="2" t="n"/>
      <c r="R1254" s="2" t="n"/>
      <c r="S1254" s="2" t="n">
        <v>33.54517082386042</v>
      </c>
      <c r="T1254" s="2" t="n">
        <v>-7.682652757059812</v>
      </c>
      <c r="U1254" s="3" t="n">
        <v>17259</v>
      </c>
      <c r="V1254" s="2" t="inlineStr"/>
      <c r="W1254" s="6" t="inlineStr">
        <is>
          <t>https://yakeey.com/fr-ma/achat/biens/31010</t>
        </is>
      </c>
    </row>
    <row r="1255">
      <c r="A1255" t="inlineStr">
        <is>
          <t>33621</t>
        </is>
      </c>
      <c r="B1255" t="inlineStr">
        <is>
          <t>VILLA</t>
        </is>
      </c>
      <c r="C1255" t="inlineStr">
        <is>
          <t>Victoria</t>
        </is>
      </c>
      <c r="D1255" t="inlineStr">
        <is>
          <t>Bouskoura</t>
        </is>
      </c>
      <c r="E1255" s="7" t="n">
        <v>2600000</v>
      </c>
      <c r="F1255" s="8" t="n">
        <v>250</v>
      </c>
      <c r="G1255" s="8" t="n"/>
      <c r="H1255" s="8" t="n"/>
      <c r="I1255" s="9">
        <f>IFERROR(E1255/F1255,"")</f>
        <v/>
      </c>
      <c r="J1255" t="n">
        <v>6</v>
      </c>
      <c r="K1255" t="n">
        <v>4</v>
      </c>
      <c r="P1255" t="inlineStr">
        <is>
          <t>LISTED</t>
        </is>
      </c>
      <c r="S1255" t="n">
        <v>33.42284644535209</v>
      </c>
      <c r="T1255" t="n">
        <v>-7.674851253089079</v>
      </c>
      <c r="U1255" s="7" t="n">
        <v>14957</v>
      </c>
      <c r="V1255" t="inlineStr"/>
      <c r="W1255" s="10" t="inlineStr">
        <is>
          <t>https://yakeey.com/fr-ma/achat/biens/33621</t>
        </is>
      </c>
    </row>
    <row r="1256">
      <c r="A1256" s="2" t="inlineStr">
        <is>
          <t>35129</t>
        </is>
      </c>
      <c r="B1256" s="2" t="inlineStr">
        <is>
          <t>VILLA</t>
        </is>
      </c>
      <c r="C1256" s="2" t="inlineStr">
        <is>
          <t>Mers Sultan</t>
        </is>
      </c>
      <c r="D1256" s="2" t="inlineStr">
        <is>
          <t>Casablanca</t>
        </is>
      </c>
      <c r="E1256" s="3" t="n">
        <v>11180000</v>
      </c>
      <c r="F1256" s="4" t="n">
        <v>409</v>
      </c>
      <c r="G1256" s="4" t="n"/>
      <c r="H1256" s="4" t="n"/>
      <c r="I1256" s="5">
        <f>IFERROR(E1256/F1256,"")</f>
        <v/>
      </c>
      <c r="J1256" s="2" t="n">
        <v>3</v>
      </c>
      <c r="K1256" s="2" t="n">
        <v>2</v>
      </c>
      <c r="L1256" s="2" t="n"/>
      <c r="M1256" s="2" t="n"/>
      <c r="N1256" s="2" t="n"/>
      <c r="O1256" s="2" t="n"/>
      <c r="P1256" s="2" t="inlineStr">
        <is>
          <t>LISTED</t>
        </is>
      </c>
      <c r="Q1256" s="2" t="n"/>
      <c r="R1256" s="2" t="n"/>
      <c r="S1256" s="2" t="n">
        <v>33.57219520155517</v>
      </c>
      <c r="T1256" s="2" t="n">
        <v>-7.612339553558368</v>
      </c>
      <c r="U1256" s="3" t="n">
        <v>64319</v>
      </c>
      <c r="V1256" s="2" t="inlineStr"/>
      <c r="W1256" s="6" t="inlineStr">
        <is>
          <t>https://yakeey.com/fr-ma/achat/biens/35129</t>
        </is>
      </c>
    </row>
    <row r="1257">
      <c r="A1257" t="inlineStr">
        <is>
          <t>36773</t>
        </is>
      </c>
      <c r="B1257" t="inlineStr">
        <is>
          <t>VILLA</t>
        </is>
      </c>
      <c r="C1257" t="inlineStr">
        <is>
          <t>Mers Sultan</t>
        </is>
      </c>
      <c r="D1257" t="inlineStr">
        <is>
          <t>Casablanca</t>
        </is>
      </c>
      <c r="E1257" s="7" t="n">
        <v>15000000</v>
      </c>
      <c r="F1257" s="8" t="n">
        <v>873</v>
      </c>
      <c r="G1257" s="8" t="n"/>
      <c r="H1257" s="8" t="n"/>
      <c r="I1257" s="9">
        <f>IFERROR(E1257/F1257,"")</f>
        <v/>
      </c>
      <c r="J1257" t="n">
        <v>5</v>
      </c>
      <c r="K1257" t="n">
        <v>4</v>
      </c>
      <c r="P1257" t="inlineStr">
        <is>
          <t>LISTED</t>
        </is>
      </c>
      <c r="S1257" t="n">
        <v>33.5817033858338</v>
      </c>
      <c r="T1257" t="n">
        <v>-7.610916969417571</v>
      </c>
      <c r="U1257" s="7" t="n">
        <v>86295</v>
      </c>
      <c r="V1257" t="inlineStr"/>
      <c r="W1257" s="10" t="inlineStr">
        <is>
          <t>https://yakeey.com/fr-ma/achat/biens/36773</t>
        </is>
      </c>
    </row>
    <row r="1258">
      <c r="A1258" s="2" t="inlineStr">
        <is>
          <t>3711</t>
        </is>
      </c>
      <c r="B1258" s="2" t="inlineStr">
        <is>
          <t>VILLA</t>
        </is>
      </c>
      <c r="C1258" s="2" t="inlineStr">
        <is>
          <t>Cil</t>
        </is>
      </c>
      <c r="D1258" s="2" t="inlineStr">
        <is>
          <t>Casablanca</t>
        </is>
      </c>
      <c r="E1258" s="3" t="n">
        <v>23000000</v>
      </c>
      <c r="F1258" s="4" t="n">
        <v>792</v>
      </c>
      <c r="G1258" s="4" t="n"/>
      <c r="H1258" s="4" t="n"/>
      <c r="I1258" s="5">
        <f>IFERROR(E1258/F1258,"")</f>
        <v/>
      </c>
      <c r="J1258" s="2" t="n">
        <v>4</v>
      </c>
      <c r="K1258" s="2" t="n">
        <v>3</v>
      </c>
      <c r="L1258" s="2" t="n"/>
      <c r="M1258" s="2" t="n"/>
      <c r="N1258" s="2" t="n"/>
      <c r="O1258" s="2" t="n"/>
      <c r="P1258" s="2" t="inlineStr">
        <is>
          <t>LISTED</t>
        </is>
      </c>
      <c r="Q1258" s="2" t="n"/>
      <c r="R1258" s="2" t="n"/>
      <c r="S1258" s="2" t="n">
        <v>33.57579994296333</v>
      </c>
      <c r="T1258" s="2" t="n">
        <v>-7.657349473549237</v>
      </c>
      <c r="U1258" s="3" t="n">
        <v>132320</v>
      </c>
      <c r="V1258" s="2" t="inlineStr"/>
      <c r="W1258" s="6" t="inlineStr">
        <is>
          <t>https://yakeey.com/fr-ma/achat/biens/3711</t>
        </is>
      </c>
    </row>
    <row r="1259">
      <c r="A1259" t="inlineStr">
        <is>
          <t>37146</t>
        </is>
      </c>
      <c r="B1259" t="inlineStr">
        <is>
          <t>VILLA</t>
        </is>
      </c>
      <c r="C1259" t="inlineStr">
        <is>
          <t>Tamaris2</t>
        </is>
      </c>
      <c r="D1259" t="inlineStr">
        <is>
          <t>Dar Bouazza</t>
        </is>
      </c>
      <c r="E1259" s="7" t="n">
        <v>3500000</v>
      </c>
      <c r="F1259" s="8" t="n">
        <v>299</v>
      </c>
      <c r="G1259" s="8" t="n"/>
      <c r="H1259" s="8" t="n"/>
      <c r="I1259" s="9">
        <f>IFERROR(E1259/F1259,"")</f>
        <v/>
      </c>
      <c r="J1259" t="n">
        <v>3</v>
      </c>
      <c r="K1259" t="n">
        <v>2</v>
      </c>
      <c r="P1259" t="inlineStr">
        <is>
          <t>LISTED</t>
        </is>
      </c>
      <c r="S1259" t="n">
        <v>33.53007966415345</v>
      </c>
      <c r="T1259" t="n">
        <v>-7.825905747826336</v>
      </c>
      <c r="U1259" s="7" t="n">
        <v>20135</v>
      </c>
      <c r="V1259" t="inlineStr"/>
      <c r="W1259" s="10" t="inlineStr">
        <is>
          <t>https://yakeey.com/fr-ma/achat/biens/37146</t>
        </is>
      </c>
    </row>
    <row r="1260">
      <c r="A1260" s="2" t="inlineStr">
        <is>
          <t>3746</t>
        </is>
      </c>
      <c r="B1260" s="2" t="inlineStr">
        <is>
          <t>VILLA</t>
        </is>
      </c>
      <c r="C1260" s="2" t="inlineStr">
        <is>
          <t>Lekrimat</t>
        </is>
      </c>
      <c r="D1260" s="2" t="inlineStr">
        <is>
          <t>Casablanca</t>
        </is>
      </c>
      <c r="E1260" s="3" t="n">
        <v>9900000</v>
      </c>
      <c r="F1260" s="4" t="n">
        <v>491</v>
      </c>
      <c r="G1260" s="4" t="n"/>
      <c r="H1260" s="4" t="n"/>
      <c r="I1260" s="5">
        <f>IFERROR(E1260/F1260,"")</f>
        <v/>
      </c>
      <c r="J1260" s="2" t="n">
        <v>6</v>
      </c>
      <c r="K1260" s="2" t="n">
        <v>5</v>
      </c>
      <c r="L1260" s="2" t="n"/>
      <c r="M1260" s="2" t="n"/>
      <c r="N1260" s="2" t="n"/>
      <c r="O1260" s="2" t="n"/>
      <c r="P1260" s="2" t="inlineStr">
        <is>
          <t>LISTED</t>
        </is>
      </c>
      <c r="Q1260" s="2" t="n"/>
      <c r="R1260" s="2" t="n"/>
      <c r="S1260" s="2" t="n">
        <v>33.54742487132123</v>
      </c>
      <c r="T1260" s="2" t="n">
        <v>-7.608806358321621</v>
      </c>
      <c r="U1260" s="3" t="n">
        <v>56955</v>
      </c>
      <c r="V1260" s="2" t="inlineStr"/>
      <c r="W1260" s="6" t="inlineStr">
        <is>
          <t>https://yakeey.com/fr-ma/achat/biens/3746</t>
        </is>
      </c>
    </row>
    <row r="1261">
      <c r="A1261" t="inlineStr">
        <is>
          <t>4165</t>
        </is>
      </c>
      <c r="B1261" t="inlineStr">
        <is>
          <t>VILLA</t>
        </is>
      </c>
      <c r="C1261" t="inlineStr">
        <is>
          <t>Tamaris2</t>
        </is>
      </c>
      <c r="D1261" t="inlineStr">
        <is>
          <t>Dar Bouazza</t>
        </is>
      </c>
      <c r="E1261" s="7" t="n">
        <v>4500000</v>
      </c>
      <c r="F1261" s="8" t="n">
        <v>452</v>
      </c>
      <c r="G1261" s="8" t="n"/>
      <c r="H1261" s="8" t="n"/>
      <c r="I1261" s="9">
        <f>IFERROR(E1261/F1261,"")</f>
        <v/>
      </c>
      <c r="J1261" t="n">
        <v>6</v>
      </c>
      <c r="K1261" t="n">
        <v>5</v>
      </c>
      <c r="P1261" t="inlineStr">
        <is>
          <t>LISTED</t>
        </is>
      </c>
      <c r="S1261" t="n">
        <v>33.52160640447782</v>
      </c>
      <c r="T1261" t="n">
        <v>-7.815023527220412</v>
      </c>
      <c r="U1261" s="7" t="n">
        <v>25888</v>
      </c>
      <c r="V1261" t="inlineStr"/>
      <c r="W1261" s="10" t="inlineStr">
        <is>
          <t>https://yakeey.com/fr-ma/achat/biens/4165</t>
        </is>
      </c>
    </row>
    <row r="1262">
      <c r="A1262" s="2" t="inlineStr">
        <is>
          <t>42807</t>
        </is>
      </c>
      <c r="B1262" s="2" t="inlineStr">
        <is>
          <t>VILLA</t>
        </is>
      </c>
      <c r="C1262" s="2" t="inlineStr">
        <is>
          <t>Nouaceur</t>
        </is>
      </c>
      <c r="D1262" s="2" t="inlineStr">
        <is>
          <t>Nouaceur</t>
        </is>
      </c>
      <c r="E1262" s="3" t="n">
        <v>3500000</v>
      </c>
      <c r="F1262" s="4" t="n">
        <v>403</v>
      </c>
      <c r="G1262" s="4" t="n"/>
      <c r="H1262" s="4" t="n"/>
      <c r="I1262" s="5">
        <f>IFERROR(E1262/F1262,"")</f>
        <v/>
      </c>
      <c r="J1262" s="2" t="n">
        <v>4</v>
      </c>
      <c r="K1262" s="2" t="n">
        <v>3</v>
      </c>
      <c r="L1262" s="2" t="n"/>
      <c r="M1262" s="2" t="n"/>
      <c r="N1262" s="2" t="n"/>
      <c r="O1262" s="2" t="n"/>
      <c r="P1262" s="2" t="inlineStr">
        <is>
          <t>LISTED</t>
        </is>
      </c>
      <c r="Q1262" s="2" t="n"/>
      <c r="R1262" s="2" t="n"/>
      <c r="S1262" s="2" t="n">
        <v>33.38731128827393</v>
      </c>
      <c r="T1262" s="2" t="n">
        <v>-7.552099012073544</v>
      </c>
      <c r="U1262" s="3" t="n">
        <v>20135</v>
      </c>
      <c r="V1262" s="2" t="inlineStr"/>
      <c r="W1262" s="6" t="inlineStr">
        <is>
          <t>https://yakeey.com/fr-ma/achat/biens/42807</t>
        </is>
      </c>
    </row>
    <row r="1263">
      <c r="A1263" t="inlineStr">
        <is>
          <t>43156</t>
        </is>
      </c>
      <c r="B1263" t="inlineStr">
        <is>
          <t>VILLA</t>
        </is>
      </c>
      <c r="C1263" t="inlineStr">
        <is>
          <t>Bouskoura</t>
        </is>
      </c>
      <c r="D1263" t="inlineStr">
        <is>
          <t>Casablanca</t>
        </is>
      </c>
      <c r="E1263" s="7" t="n">
        <v>8500000</v>
      </c>
      <c r="F1263" s="8" t="n">
        <v>881</v>
      </c>
      <c r="G1263" s="8" t="n"/>
      <c r="H1263" s="8" t="n"/>
      <c r="I1263" s="9">
        <f>IFERROR(E1263/F1263,"")</f>
        <v/>
      </c>
      <c r="J1263" t="n">
        <v>3</v>
      </c>
      <c r="K1263" t="n">
        <v>2</v>
      </c>
      <c r="P1263" t="inlineStr">
        <is>
          <t>LISTED</t>
        </is>
      </c>
      <c r="S1263" t="n">
        <v>33.46804374959328</v>
      </c>
      <c r="T1263" t="n">
        <v>-7.654721094761465</v>
      </c>
      <c r="U1263" s="7" t="n">
        <v>48901</v>
      </c>
      <c r="V1263" t="inlineStr"/>
      <c r="W1263" s="10" t="inlineStr">
        <is>
          <t>https://yakeey.com/fr-ma/achat/biens/43156</t>
        </is>
      </c>
    </row>
    <row r="1264">
      <c r="A1264" s="2" t="inlineStr">
        <is>
          <t>43223</t>
        </is>
      </c>
      <c r="B1264" s="2" t="inlineStr">
        <is>
          <t>VILLA</t>
        </is>
      </c>
      <c r="C1264" s="2" t="inlineStr">
        <is>
          <t>Oasis</t>
        </is>
      </c>
      <c r="D1264" s="2" t="inlineStr">
        <is>
          <t>Casablanca</t>
        </is>
      </c>
      <c r="E1264" s="3" t="n">
        <v>12360000</v>
      </c>
      <c r="F1264" s="4" t="n">
        <v>599</v>
      </c>
      <c r="G1264" s="4" t="n"/>
      <c r="H1264" s="4" t="n"/>
      <c r="I1264" s="5">
        <f>IFERROR(E1264/F1264,"")</f>
        <v/>
      </c>
      <c r="J1264" s="2" t="n">
        <v>4</v>
      </c>
      <c r="K1264" s="2" t="n">
        <v>3</v>
      </c>
      <c r="L1264" s="2" t="n"/>
      <c r="M1264" s="2" t="n"/>
      <c r="N1264" s="2" t="n"/>
      <c r="O1264" s="2" t="n"/>
      <c r="P1264" s="2" t="inlineStr">
        <is>
          <t>LISTED</t>
        </is>
      </c>
      <c r="Q1264" s="2" t="n"/>
      <c r="R1264" s="2" t="n"/>
      <c r="S1264" s="2" t="n">
        <v>33.55339736735716</v>
      </c>
      <c r="T1264" s="2" t="n">
        <v>-7.634203451576524</v>
      </c>
      <c r="U1264" s="3" t="n">
        <v>71107</v>
      </c>
      <c r="V1264" s="2" t="inlineStr"/>
      <c r="W1264" s="6" t="inlineStr">
        <is>
          <t>https://yakeey.com/fr-ma/achat/biens/43223</t>
        </is>
      </c>
    </row>
    <row r="1265">
      <c r="A1265" t="inlineStr">
        <is>
          <t>43816</t>
        </is>
      </c>
      <c r="B1265" t="inlineStr">
        <is>
          <t>VILLA</t>
        </is>
      </c>
      <c r="C1265" t="inlineStr">
        <is>
          <t>Ain Diab Extension 2</t>
        </is>
      </c>
      <c r="D1265" t="inlineStr">
        <is>
          <t>Casablanca</t>
        </is>
      </c>
      <c r="E1265" s="7" t="n">
        <v>19350000</v>
      </c>
      <c r="F1265" s="8" t="n">
        <v>1001</v>
      </c>
      <c r="G1265" s="8" t="n"/>
      <c r="H1265" s="8" t="n"/>
      <c r="I1265" s="9">
        <f>IFERROR(E1265/F1265,"")</f>
        <v/>
      </c>
      <c r="J1265" t="n">
        <v>4</v>
      </c>
      <c r="K1265" t="n">
        <v>4</v>
      </c>
      <c r="P1265" t="inlineStr">
        <is>
          <t>LISTED</t>
        </is>
      </c>
      <c r="S1265" t="n">
        <v>33.5710589498533</v>
      </c>
      <c r="T1265" t="n">
        <v>-7.708114521787497</v>
      </c>
      <c r="U1265" s="7" t="n">
        <v>111321</v>
      </c>
      <c r="V1265" t="inlineStr"/>
      <c r="W1265" s="10" t="inlineStr">
        <is>
          <t>https://yakeey.com/fr-ma/achat/biens/43816</t>
        </is>
      </c>
    </row>
    <row r="1266">
      <c r="A1266" s="2" t="inlineStr">
        <is>
          <t>45561</t>
        </is>
      </c>
      <c r="B1266" s="2" t="inlineStr">
        <is>
          <t>VILLA</t>
        </is>
      </c>
      <c r="C1266" s="2" t="inlineStr">
        <is>
          <t>Hippodrome</t>
        </is>
      </c>
      <c r="D1266" s="2" t="inlineStr">
        <is>
          <t>Casablanca</t>
        </is>
      </c>
      <c r="E1266" s="3" t="n">
        <v>11500000</v>
      </c>
      <c r="F1266" s="4" t="n">
        <v>746</v>
      </c>
      <c r="G1266" s="4" t="n"/>
      <c r="H1266" s="4" t="n"/>
      <c r="I1266" s="5">
        <f>IFERROR(E1266/F1266,"")</f>
        <v/>
      </c>
      <c r="J1266" s="2" t="n">
        <v>4</v>
      </c>
      <c r="K1266" s="2" t="n">
        <v>2</v>
      </c>
      <c r="L1266" s="2" t="n"/>
      <c r="M1266" s="2" t="n"/>
      <c r="N1266" s="2" t="n"/>
      <c r="O1266" s="2" t="n"/>
      <c r="P1266" s="2" t="inlineStr">
        <is>
          <t>LISTED</t>
        </is>
      </c>
      <c r="Q1266" s="2" t="n"/>
      <c r="R1266" s="2" t="n"/>
      <c r="S1266" s="2" t="n">
        <v>33.58553655943353</v>
      </c>
      <c r="T1266" s="2" t="n">
        <v>-7.65011642358998</v>
      </c>
      <c r="U1266" s="3" t="n">
        <v>66160</v>
      </c>
      <c r="V1266" s="2" t="inlineStr"/>
      <c r="W1266" s="6" t="inlineStr">
        <is>
          <t>https://yakeey.com/fr-ma/achat/biens/45561</t>
        </is>
      </c>
    </row>
    <row r="1267">
      <c r="A1267" t="inlineStr">
        <is>
          <t>4611</t>
        </is>
      </c>
      <c r="B1267" t="inlineStr">
        <is>
          <t>VILLA</t>
        </is>
      </c>
      <c r="C1267" t="inlineStr">
        <is>
          <t>Bouskoura</t>
        </is>
      </c>
      <c r="D1267" t="inlineStr">
        <is>
          <t>Bouskoura</t>
        </is>
      </c>
      <c r="E1267" s="7" t="n">
        <v>9300000</v>
      </c>
      <c r="F1267" s="8" t="n">
        <v>852</v>
      </c>
      <c r="G1267" s="8" t="n"/>
      <c r="H1267" s="8" t="n"/>
      <c r="I1267" s="9">
        <f>IFERROR(E1267/F1267,"")</f>
        <v/>
      </c>
      <c r="J1267" t="n">
        <v>4</v>
      </c>
      <c r="K1267" t="n">
        <v>3</v>
      </c>
      <c r="P1267" t="inlineStr">
        <is>
          <t>LISTED</t>
        </is>
      </c>
      <c r="S1267" t="n">
        <v>33.47052920590842</v>
      </c>
      <c r="T1267" t="n">
        <v>-7.63880840041616</v>
      </c>
      <c r="U1267" s="7" t="n">
        <v>53503</v>
      </c>
      <c r="V1267" t="inlineStr"/>
      <c r="W1267" s="10" t="inlineStr">
        <is>
          <t>https://yakeey.com/fr-ma/achat/biens/4611</t>
        </is>
      </c>
    </row>
    <row r="1268">
      <c r="A1268" s="2" t="inlineStr">
        <is>
          <t>46797</t>
        </is>
      </c>
      <c r="B1268" s="2" t="inlineStr">
        <is>
          <t>VILLA</t>
        </is>
      </c>
      <c r="C1268" s="2" t="inlineStr">
        <is>
          <t>Oasis</t>
        </is>
      </c>
      <c r="D1268" s="2" t="inlineStr">
        <is>
          <t>Casablanca</t>
        </is>
      </c>
      <c r="E1268" s="3" t="n">
        <v>10000000</v>
      </c>
      <c r="F1268" s="4" t="n">
        <v>458</v>
      </c>
      <c r="G1268" s="4" t="n"/>
      <c r="H1268" s="4" t="n"/>
      <c r="I1268" s="5">
        <f>IFERROR(E1268/F1268,"")</f>
        <v/>
      </c>
      <c r="J1268" s="2" t="n">
        <v>5</v>
      </c>
      <c r="K1268" s="2" t="n"/>
      <c r="L1268" s="2" t="n"/>
      <c r="M1268" s="2" t="n"/>
      <c r="N1268" s="2" t="n"/>
      <c r="O1268" s="2" t="n"/>
      <c r="P1268" s="2" t="inlineStr">
        <is>
          <t>LISTED</t>
        </is>
      </c>
      <c r="Q1268" s="2" t="n"/>
      <c r="R1268" s="2" t="n"/>
      <c r="S1268" s="2" t="n">
        <v>33.55744538131798</v>
      </c>
      <c r="T1268" s="2" t="n">
        <v>-7.636490744577668</v>
      </c>
      <c r="U1268" s="3" t="n">
        <v>57530</v>
      </c>
      <c r="V1268" s="2" t="inlineStr"/>
      <c r="W1268" s="6" t="inlineStr">
        <is>
          <t>https://yakeey.com/fr-ma/achat/biens/46797</t>
        </is>
      </c>
    </row>
    <row r="1269">
      <c r="A1269" t="inlineStr">
        <is>
          <t>49192</t>
        </is>
      </c>
      <c r="B1269" t="inlineStr">
        <is>
          <t>VILLA</t>
        </is>
      </c>
      <c r="C1269" t="inlineStr">
        <is>
          <t>Passadena Village</t>
        </is>
      </c>
      <c r="D1269" t="inlineStr">
        <is>
          <t>Sidi Rahal</t>
        </is>
      </c>
      <c r="E1269" s="7" t="n">
        <v>3200000</v>
      </c>
      <c r="F1269" s="8" t="n">
        <v>190</v>
      </c>
      <c r="G1269" s="8" t="n"/>
      <c r="H1269" s="8" t="n"/>
      <c r="I1269" s="9">
        <f>IFERROR(E1269/F1269,"")</f>
        <v/>
      </c>
      <c r="J1269" t="n">
        <v>4</v>
      </c>
      <c r="K1269" t="n">
        <v>3</v>
      </c>
      <c r="P1269" t="inlineStr">
        <is>
          <t>LISTED</t>
        </is>
      </c>
      <c r="S1269" t="n">
        <v>33.46566208938689</v>
      </c>
      <c r="T1269" t="n">
        <v>-7.98522254902465</v>
      </c>
      <c r="U1269" s="7" t="n">
        <v>18409</v>
      </c>
      <c r="V1269" t="inlineStr"/>
      <c r="W1269" s="10" t="inlineStr">
        <is>
          <t>https://yakeey.com/fr-ma/achat/biens/49192</t>
        </is>
      </c>
    </row>
    <row r="1270">
      <c r="A1270" s="2" t="inlineStr">
        <is>
          <t>49354</t>
        </is>
      </c>
      <c r="B1270" s="2" t="inlineStr">
        <is>
          <t>VILLA</t>
        </is>
      </c>
      <c r="C1270" s="2" t="inlineStr">
        <is>
          <t>Anfa Superieur</t>
        </is>
      </c>
      <c r="D1270" s="2" t="inlineStr">
        <is>
          <t>Casablanca</t>
        </is>
      </c>
      <c r="E1270" s="3" t="n">
        <v>17450000</v>
      </c>
      <c r="F1270" s="4" t="n">
        <v>1317</v>
      </c>
      <c r="G1270" s="4" t="n"/>
      <c r="H1270" s="4" t="n"/>
      <c r="I1270" s="5">
        <f>IFERROR(E1270/F1270,"")</f>
        <v/>
      </c>
      <c r="J1270" s="2" t="n">
        <v>4</v>
      </c>
      <c r="K1270" s="2" t="n">
        <v>2</v>
      </c>
      <c r="L1270" s="2" t="n"/>
      <c r="M1270" s="2" t="n"/>
      <c r="N1270" s="2" t="n"/>
      <c r="O1270" s="2" t="n"/>
      <c r="P1270" s="2" t="inlineStr">
        <is>
          <t>LISTED</t>
        </is>
      </c>
      <c r="Q1270" s="2" t="n"/>
      <c r="R1270" s="2" t="n"/>
      <c r="S1270" s="2" t="n">
        <v>33.57908619870708</v>
      </c>
      <c r="T1270" s="2" t="n">
        <v>-7.670694561808608</v>
      </c>
      <c r="U1270" s="3" t="n">
        <v>100390</v>
      </c>
      <c r="V1270" s="2" t="inlineStr"/>
      <c r="W1270" s="6" t="inlineStr">
        <is>
          <t>https://yakeey.com/fr-ma/achat/biens/49354</t>
        </is>
      </c>
    </row>
    <row r="1271">
      <c r="A1271" t="inlineStr">
        <is>
          <t>49982</t>
        </is>
      </c>
      <c r="B1271" t="inlineStr">
        <is>
          <t>VILLA</t>
        </is>
      </c>
      <c r="C1271" t="inlineStr">
        <is>
          <t>Longchamps</t>
        </is>
      </c>
      <c r="D1271" t="inlineStr">
        <is>
          <t>Casablanca</t>
        </is>
      </c>
      <c r="E1271" s="7" t="n">
        <v>9400000</v>
      </c>
      <c r="F1271" s="8" t="n">
        <v>412</v>
      </c>
      <c r="G1271" s="8" t="n"/>
      <c r="H1271" s="8" t="n"/>
      <c r="I1271" s="9">
        <f>IFERROR(E1271/F1271,"")</f>
        <v/>
      </c>
      <c r="J1271" t="n">
        <v>4</v>
      </c>
      <c r="K1271" t="n">
        <v>3</v>
      </c>
      <c r="P1271" t="inlineStr">
        <is>
          <t>LISTED</t>
        </is>
      </c>
      <c r="S1271" t="n">
        <v>33.57754268264738</v>
      </c>
      <c r="T1271" t="n">
        <v>-7.666500058070642</v>
      </c>
      <c r="U1271" s="7" t="n">
        <v>54078</v>
      </c>
      <c r="V1271" t="inlineStr"/>
      <c r="W1271" s="10" t="inlineStr">
        <is>
          <t>https://yakeey.com/fr-ma/achat/biens/49982</t>
        </is>
      </c>
    </row>
    <row r="1272">
      <c r="A1272" s="2" t="inlineStr">
        <is>
          <t>51303</t>
        </is>
      </c>
      <c r="B1272" s="2" t="inlineStr">
        <is>
          <t>VILLA</t>
        </is>
      </c>
      <c r="C1272" s="2" t="inlineStr">
        <is>
          <t>Anfa Superieur</t>
        </is>
      </c>
      <c r="D1272" s="2" t="inlineStr">
        <is>
          <t>Casablanca</t>
        </is>
      </c>
      <c r="E1272" s="3" t="n">
        <v>16500000</v>
      </c>
      <c r="F1272" s="4" t="n">
        <v>1235</v>
      </c>
      <c r="G1272" s="4" t="n"/>
      <c r="H1272" s="4" t="n"/>
      <c r="I1272" s="5">
        <f>IFERROR(E1272/F1272,"")</f>
        <v/>
      </c>
      <c r="J1272" s="2" t="n">
        <v>4</v>
      </c>
      <c r="K1272" s="2" t="n">
        <v>6</v>
      </c>
      <c r="L1272" s="2" t="n"/>
      <c r="M1272" s="2" t="n"/>
      <c r="N1272" s="2" t="n"/>
      <c r="O1272" s="2" t="n"/>
      <c r="P1272" s="2" t="inlineStr">
        <is>
          <t>LISTED</t>
        </is>
      </c>
      <c r="Q1272" s="2" t="n"/>
      <c r="R1272" s="2" t="n"/>
      <c r="S1272" s="2" t="n">
        <v>33.5870446760132</v>
      </c>
      <c r="T1272" s="2" t="n">
        <v>-7.648807266340253</v>
      </c>
      <c r="U1272" s="3" t="n">
        <v>94925</v>
      </c>
      <c r="V1272" s="2" t="inlineStr"/>
      <c r="W1272" s="6" t="inlineStr">
        <is>
          <t>https://yakeey.com/fr-ma/achat/biens/51303</t>
        </is>
      </c>
    </row>
    <row r="1273">
      <c r="A1273" t="inlineStr">
        <is>
          <t>52897</t>
        </is>
      </c>
      <c r="B1273" t="inlineStr">
        <is>
          <t>VILLA</t>
        </is>
      </c>
      <c r="C1273" t="inlineStr">
        <is>
          <t>Californie</t>
        </is>
      </c>
      <c r="D1273" t="inlineStr">
        <is>
          <t>Casablanca</t>
        </is>
      </c>
      <c r="E1273" s="7" t="n">
        <v>8600000</v>
      </c>
      <c r="F1273" s="8" t="n">
        <v>630</v>
      </c>
      <c r="G1273" s="8" t="n"/>
      <c r="H1273" s="8" t="n"/>
      <c r="I1273" s="9">
        <f>IFERROR(E1273/F1273,"")</f>
        <v/>
      </c>
      <c r="J1273" t="n">
        <v>5</v>
      </c>
      <c r="K1273" t="n">
        <v>4</v>
      </c>
      <c r="P1273" t="inlineStr">
        <is>
          <t>LISTED</t>
        </is>
      </c>
      <c r="S1273" t="n">
        <v>33.53498896891964</v>
      </c>
      <c r="T1273" t="n">
        <v>-7.631291381932504</v>
      </c>
      <c r="U1273" s="7" t="n">
        <v>49476</v>
      </c>
      <c r="V1273" t="inlineStr"/>
      <c r="W1273" s="10" t="inlineStr">
        <is>
          <t>https://yakeey.com/fr-ma/achat/biens/52897</t>
        </is>
      </c>
    </row>
    <row r="1274">
      <c r="A1274" s="2" t="inlineStr">
        <is>
          <t>52932</t>
        </is>
      </c>
      <c r="B1274" s="2" t="inlineStr">
        <is>
          <t>VILLA</t>
        </is>
      </c>
      <c r="C1274" s="2" t="inlineStr">
        <is>
          <t>Bouskoura</t>
        </is>
      </c>
      <c r="D1274" s="2" t="inlineStr">
        <is>
          <t>Bouskoura</t>
        </is>
      </c>
      <c r="E1274" s="3" t="n">
        <v>6900000</v>
      </c>
      <c r="F1274" s="4" t="n">
        <v>426</v>
      </c>
      <c r="G1274" s="4" t="n"/>
      <c r="H1274" s="4" t="n"/>
      <c r="I1274" s="5">
        <f>IFERROR(E1274/F1274,"")</f>
        <v/>
      </c>
      <c r="J1274" s="2" t="n">
        <v>4</v>
      </c>
      <c r="K1274" s="2" t="n">
        <v>3</v>
      </c>
      <c r="L1274" s="2" t="n"/>
      <c r="M1274" s="2" t="n"/>
      <c r="N1274" s="2" t="n"/>
      <c r="O1274" s="2" t="n"/>
      <c r="P1274" s="2" t="inlineStr">
        <is>
          <t>LISTED</t>
        </is>
      </c>
      <c r="Q1274" s="2" t="n"/>
      <c r="R1274" s="2" t="n"/>
      <c r="S1274" s="2" t="n">
        <v>33.46704124509726</v>
      </c>
      <c r="T1274" s="2" t="n">
        <v>-7.657483371577216</v>
      </c>
      <c r="U1274" s="3" t="n">
        <v>39696</v>
      </c>
      <c r="V1274" s="2" t="inlineStr"/>
      <c r="W1274" s="6" t="inlineStr">
        <is>
          <t>https://yakeey.com/fr-ma/achat/biens/52932</t>
        </is>
      </c>
    </row>
    <row r="1275">
      <c r="A1275" t="inlineStr">
        <is>
          <t>53393</t>
        </is>
      </c>
      <c r="B1275" t="inlineStr">
        <is>
          <t>VILLA</t>
        </is>
      </c>
      <c r="C1275" t="inlineStr">
        <is>
          <t>Bournazil</t>
        </is>
      </c>
      <c r="D1275" t="inlineStr">
        <is>
          <t>Casablanca</t>
        </is>
      </c>
      <c r="E1275" s="7" t="n">
        <v>3300000</v>
      </c>
      <c r="F1275" s="8" t="n">
        <v>140</v>
      </c>
      <c r="G1275" s="8" t="n"/>
      <c r="H1275" s="8" t="n"/>
      <c r="I1275" s="9">
        <f>IFERROR(E1275/F1275,"")</f>
        <v/>
      </c>
      <c r="J1275" t="n">
        <v>6</v>
      </c>
      <c r="K1275" t="n">
        <v>3</v>
      </c>
      <c r="P1275" t="inlineStr">
        <is>
          <t>LISTED</t>
        </is>
      </c>
      <c r="S1275" t="n">
        <v>33.57307518827033</v>
      </c>
      <c r="T1275" t="n">
        <v>-7.550890203902751</v>
      </c>
      <c r="U1275" s="7" t="n">
        <v>18985</v>
      </c>
      <c r="V1275" t="inlineStr"/>
      <c r="W1275" s="10" t="inlineStr">
        <is>
          <t>https://yakeey.com/fr-ma/achat/biens/53393</t>
        </is>
      </c>
    </row>
    <row r="1276">
      <c r="A1276" s="2" t="inlineStr">
        <is>
          <t>53681</t>
        </is>
      </c>
      <c r="B1276" s="2" t="inlineStr">
        <is>
          <t>VILLA</t>
        </is>
      </c>
      <c r="C1276" s="2" t="inlineStr">
        <is>
          <t>Tamaris2</t>
        </is>
      </c>
      <c r="D1276" s="2" t="inlineStr">
        <is>
          <t>Dar Bouazza</t>
        </is>
      </c>
      <c r="E1276" s="3" t="n">
        <v>5000000</v>
      </c>
      <c r="F1276" s="4" t="n">
        <v>351</v>
      </c>
      <c r="G1276" s="4" t="n"/>
      <c r="H1276" s="4" t="n"/>
      <c r="I1276" s="5">
        <f>IFERROR(E1276/F1276,"")</f>
        <v/>
      </c>
      <c r="J1276" s="2" t="n">
        <v>4</v>
      </c>
      <c r="K1276" s="2" t="n">
        <v>3</v>
      </c>
      <c r="L1276" s="2" t="n"/>
      <c r="M1276" s="2" t="n"/>
      <c r="N1276" s="2" t="n"/>
      <c r="O1276" s="2" t="n"/>
      <c r="P1276" s="2" t="inlineStr">
        <is>
          <t>LISTED</t>
        </is>
      </c>
      <c r="Q1276" s="2" t="n"/>
      <c r="R1276" s="2" t="n"/>
      <c r="S1276" s="2" t="n">
        <v>33.52457320235414</v>
      </c>
      <c r="T1276" s="2" t="n">
        <v>-7.835460896412899</v>
      </c>
      <c r="U1276" s="3" t="n">
        <v>28765</v>
      </c>
      <c r="V1276" s="2" t="inlineStr"/>
      <c r="W1276" s="6" t="inlineStr">
        <is>
          <t>https://yakeey.com/fr-ma/achat/biens/53681</t>
        </is>
      </c>
    </row>
    <row r="1277">
      <c r="A1277" t="inlineStr">
        <is>
          <t>54505</t>
        </is>
      </c>
      <c r="B1277" t="inlineStr">
        <is>
          <t>VILLA</t>
        </is>
      </c>
      <c r="C1277" t="inlineStr">
        <is>
          <t>Sidi Maarouf</t>
        </is>
      </c>
      <c r="D1277" t="inlineStr">
        <is>
          <t>Casablanca</t>
        </is>
      </c>
      <c r="E1277" s="7" t="n">
        <v>7000000</v>
      </c>
      <c r="F1277" s="8" t="n">
        <v>410</v>
      </c>
      <c r="G1277" s="8" t="n"/>
      <c r="H1277" s="8" t="n"/>
      <c r="I1277" s="9">
        <f>IFERROR(E1277/F1277,"")</f>
        <v/>
      </c>
      <c r="J1277" t="n">
        <v>7</v>
      </c>
      <c r="K1277" t="n">
        <v>3</v>
      </c>
      <c r="P1277" t="inlineStr">
        <is>
          <t>LISTED</t>
        </is>
      </c>
      <c r="S1277" t="n">
        <v>33.52067189372057</v>
      </c>
      <c r="T1277" t="n">
        <v>-7.640116501467843</v>
      </c>
      <c r="U1277" s="7" t="n">
        <v>40271</v>
      </c>
      <c r="V1277" t="inlineStr"/>
      <c r="W1277" s="10" t="inlineStr">
        <is>
          <t>https://yakeey.com/fr-ma/achat/biens/54505</t>
        </is>
      </c>
    </row>
    <row r="1278">
      <c r="A1278" s="2" t="inlineStr">
        <is>
          <t>54640</t>
        </is>
      </c>
      <c r="B1278" s="2" t="inlineStr">
        <is>
          <t>VILLA</t>
        </is>
      </c>
      <c r="C1278" s="2" t="inlineStr">
        <is>
          <t>Florida - Mandarona</t>
        </is>
      </c>
      <c r="D1278" s="2" t="inlineStr">
        <is>
          <t>Casablanca</t>
        </is>
      </c>
      <c r="E1278" s="3" t="n">
        <v>6900000</v>
      </c>
      <c r="F1278" s="4" t="n">
        <v>352</v>
      </c>
      <c r="G1278" s="4" t="n"/>
      <c r="H1278" s="4" t="n"/>
      <c r="I1278" s="5">
        <f>IFERROR(E1278/F1278,"")</f>
        <v/>
      </c>
      <c r="J1278" s="2" t="n">
        <v>5</v>
      </c>
      <c r="K1278" s="2" t="n">
        <v>3</v>
      </c>
      <c r="L1278" s="2" t="n"/>
      <c r="M1278" s="2" t="n"/>
      <c r="N1278" s="2" t="n"/>
      <c r="O1278" s="2" t="n"/>
      <c r="P1278" s="2" t="inlineStr">
        <is>
          <t>LISTED</t>
        </is>
      </c>
      <c r="Q1278" s="2" t="n"/>
      <c r="R1278" s="2" t="n"/>
      <c r="S1278" s="2" t="n">
        <v>33.54221568610345</v>
      </c>
      <c r="T1278" s="2" t="n">
        <v>-7.645525837652962</v>
      </c>
      <c r="U1278" s="3" t="n">
        <v>39696</v>
      </c>
      <c r="V1278" s="2" t="inlineStr"/>
      <c r="W1278" s="6" t="inlineStr">
        <is>
          <t>https://yakeey.com/fr-ma/achat/biens/54640</t>
        </is>
      </c>
    </row>
    <row r="1279">
      <c r="A1279" t="inlineStr">
        <is>
          <t>57575</t>
        </is>
      </c>
      <c r="B1279" t="inlineStr">
        <is>
          <t>VILLA</t>
        </is>
      </c>
      <c r="C1279" t="inlineStr">
        <is>
          <t>Polo (Ain Chok)</t>
        </is>
      </c>
      <c r="D1279" t="inlineStr">
        <is>
          <t>Casablanca</t>
        </is>
      </c>
      <c r="E1279" s="7" t="n">
        <v>6500000</v>
      </c>
      <c r="F1279" s="8" t="n">
        <v>358</v>
      </c>
      <c r="G1279" s="8" t="n"/>
      <c r="H1279" s="8" t="n"/>
      <c r="I1279" s="9">
        <f>IFERROR(E1279/F1279,"")</f>
        <v/>
      </c>
      <c r="J1279" t="n">
        <v>4</v>
      </c>
      <c r="K1279" t="n">
        <v>3</v>
      </c>
      <c r="P1279" t="inlineStr">
        <is>
          <t>LISTED</t>
        </is>
      </c>
      <c r="S1279" t="n">
        <v>33.55098281684872</v>
      </c>
      <c r="T1279" t="n">
        <v>-7.626035174070309</v>
      </c>
      <c r="U1279" s="7" t="n">
        <v>37394</v>
      </c>
      <c r="V1279" t="inlineStr"/>
      <c r="W1279" s="10" t="inlineStr">
        <is>
          <t>https://yakeey.com/fr-ma/achat/biens/57575</t>
        </is>
      </c>
    </row>
    <row r="1280">
      <c r="A1280" s="2" t="inlineStr">
        <is>
          <t>59044</t>
        </is>
      </c>
      <c r="B1280" s="2" t="inlineStr">
        <is>
          <t>VILLA</t>
        </is>
      </c>
      <c r="C1280" s="2" t="inlineStr">
        <is>
          <t>Florida - Mandarona</t>
        </is>
      </c>
      <c r="D1280" s="2" t="inlineStr">
        <is>
          <t>Casablanca</t>
        </is>
      </c>
      <c r="E1280" s="3" t="n">
        <v>5000000</v>
      </c>
      <c r="F1280" s="4" t="n">
        <v>306</v>
      </c>
      <c r="G1280" s="4" t="n"/>
      <c r="H1280" s="4" t="n"/>
      <c r="I1280" s="5">
        <f>IFERROR(E1280/F1280,"")</f>
        <v/>
      </c>
      <c r="J1280" s="2" t="n">
        <v>5</v>
      </c>
      <c r="K1280" s="2" t="n">
        <v>2</v>
      </c>
      <c r="L1280" s="2" t="n"/>
      <c r="M1280" s="2" t="n"/>
      <c r="N1280" s="2" t="n"/>
      <c r="O1280" s="2" t="n"/>
      <c r="P1280" s="2" t="inlineStr">
        <is>
          <t>LISTED</t>
        </is>
      </c>
      <c r="Q1280" s="2" t="n"/>
      <c r="R1280" s="2" t="n"/>
      <c r="S1280" s="2" t="n">
        <v>33.53937269720572</v>
      </c>
      <c r="T1280" s="2" t="n">
        <v>-7.645838125704207</v>
      </c>
      <c r="U1280" s="3" t="n">
        <v>28765</v>
      </c>
      <c r="V1280" s="2" t="inlineStr"/>
      <c r="W1280" s="6" t="inlineStr">
        <is>
          <t>https://yakeey.com/fr-ma/achat/biens/59044</t>
        </is>
      </c>
    </row>
    <row r="1281">
      <c r="A1281" t="inlineStr">
        <is>
          <t>60837</t>
        </is>
      </c>
      <c r="B1281" t="inlineStr">
        <is>
          <t>VILLA</t>
        </is>
      </c>
      <c r="C1281" t="inlineStr">
        <is>
          <t>Anfa Superieur</t>
        </is>
      </c>
      <c r="D1281" t="inlineStr">
        <is>
          <t>Casablanca</t>
        </is>
      </c>
      <c r="E1281" s="7" t="n">
        <v>30000000</v>
      </c>
      <c r="F1281" s="8" t="n">
        <v>1935</v>
      </c>
      <c r="G1281" s="8" t="n"/>
      <c r="H1281" s="8" t="n"/>
      <c r="I1281" s="9">
        <f>IFERROR(E1281/F1281,"")</f>
        <v/>
      </c>
      <c r="J1281" t="n">
        <v>5</v>
      </c>
      <c r="P1281" t="inlineStr">
        <is>
          <t>LISTED</t>
        </is>
      </c>
      <c r="S1281" t="n">
        <v>33.58122860998136</v>
      </c>
      <c r="T1281" t="n">
        <v>-7.66687223064152</v>
      </c>
      <c r="U1281" s="7" t="n">
        <v>172591</v>
      </c>
      <c r="V1281" t="inlineStr"/>
      <c r="W1281" s="10" t="inlineStr">
        <is>
          <t>https://yakeey.com/fr-ma/achat/biens/60837</t>
        </is>
      </c>
    </row>
    <row r="1282">
      <c r="A1282" s="2" t="inlineStr">
        <is>
          <t>61006</t>
        </is>
      </c>
      <c r="B1282" s="2" t="inlineStr">
        <is>
          <t>VILLA</t>
        </is>
      </c>
      <c r="C1282" s="2" t="inlineStr">
        <is>
          <t>Oulfa</t>
        </is>
      </c>
      <c r="D1282" s="2" t="inlineStr">
        <is>
          <t>Casablanca</t>
        </is>
      </c>
      <c r="E1282" s="3" t="n">
        <v>7390000</v>
      </c>
      <c r="F1282" s="4" t="n">
        <v>401</v>
      </c>
      <c r="G1282" s="4" t="n"/>
      <c r="H1282" s="4" t="n"/>
      <c r="I1282" s="5">
        <f>IFERROR(E1282/F1282,"")</f>
        <v/>
      </c>
      <c r="J1282" s="2" t="n">
        <v>5</v>
      </c>
      <c r="K1282" s="2" t="n">
        <v>5</v>
      </c>
      <c r="L1282" s="2" t="n"/>
      <c r="M1282" s="2" t="n"/>
      <c r="N1282" s="2" t="n"/>
      <c r="O1282" s="2" t="n"/>
      <c r="P1282" s="2" t="inlineStr">
        <is>
          <t>LISTED</t>
        </is>
      </c>
      <c r="Q1282" s="2" t="n"/>
      <c r="R1282" s="2" t="n"/>
      <c r="S1282" s="2" t="n">
        <v>33.54250861324426</v>
      </c>
      <c r="T1282" s="2" t="n">
        <v>-7.672256965859555</v>
      </c>
      <c r="U1282" s="3" t="n">
        <v>42515</v>
      </c>
      <c r="V1282" s="2" t="inlineStr"/>
      <c r="W1282" s="6" t="inlineStr">
        <is>
          <t>https://yakeey.com/fr-ma/achat/biens/61006</t>
        </is>
      </c>
    </row>
    <row r="1283">
      <c r="A1283" t="inlineStr">
        <is>
          <t>6359</t>
        </is>
      </c>
      <c r="B1283" t="inlineStr">
        <is>
          <t>VILLA</t>
        </is>
      </c>
      <c r="C1283" t="inlineStr">
        <is>
          <t>Sidi Maarouf</t>
        </is>
      </c>
      <c r="D1283" t="inlineStr">
        <is>
          <t>Casablanca</t>
        </is>
      </c>
      <c r="E1283" s="7" t="n">
        <v>5200000</v>
      </c>
      <c r="F1283" s="8" t="n">
        <v>397</v>
      </c>
      <c r="G1283" s="8" t="n"/>
      <c r="H1283" s="8" t="n"/>
      <c r="I1283" s="9">
        <f>IFERROR(E1283/F1283,"")</f>
        <v/>
      </c>
      <c r="J1283" t="n">
        <v>4</v>
      </c>
      <c r="K1283" t="n">
        <v>2</v>
      </c>
      <c r="P1283" t="inlineStr">
        <is>
          <t>LISTED</t>
        </is>
      </c>
      <c r="S1283" t="n">
        <v>33.51642585470369</v>
      </c>
      <c r="T1283" t="n">
        <v>-7.657096256591138</v>
      </c>
      <c r="U1283" s="7" t="n">
        <v>29915</v>
      </c>
      <c r="V1283" t="inlineStr"/>
      <c r="W1283" s="10" t="inlineStr">
        <is>
          <t>https://yakeey.com/fr-ma/achat/biens/6359</t>
        </is>
      </c>
    </row>
    <row r="1284">
      <c r="A1284" s="2" t="inlineStr">
        <is>
          <t>64160</t>
        </is>
      </c>
      <c r="B1284" s="2" t="inlineStr">
        <is>
          <t>VILLA</t>
        </is>
      </c>
      <c r="C1284" s="2" t="inlineStr">
        <is>
          <t>Nassim</t>
        </is>
      </c>
      <c r="D1284" s="2" t="inlineStr">
        <is>
          <t>Casablanca</t>
        </is>
      </c>
      <c r="E1284" s="3" t="n">
        <v>2950000</v>
      </c>
      <c r="F1284" s="4" t="n">
        <v>195</v>
      </c>
      <c r="G1284" s="4" t="n"/>
      <c r="H1284" s="4" t="n"/>
      <c r="I1284" s="5">
        <f>IFERROR(E1284/F1284,"")</f>
        <v/>
      </c>
      <c r="J1284" s="2" t="n">
        <v>5</v>
      </c>
      <c r="K1284" s="2" t="n">
        <v>3</v>
      </c>
      <c r="L1284" s="2" t="n"/>
      <c r="M1284" s="2" t="n"/>
      <c r="N1284" s="2" t="n"/>
      <c r="O1284" s="2" t="n"/>
      <c r="P1284" s="2" t="inlineStr">
        <is>
          <t>LISTED</t>
        </is>
      </c>
      <c r="Q1284" s="2" t="n"/>
      <c r="R1284" s="2" t="n"/>
      <c r="S1284" s="2" t="n">
        <v>33.51804919859972</v>
      </c>
      <c r="T1284" s="2" t="n">
        <v>-7.665337066812834</v>
      </c>
      <c r="U1284" s="3" t="n">
        <v>16971</v>
      </c>
      <c r="V1284" s="2" t="inlineStr"/>
      <c r="W1284" s="6" t="inlineStr">
        <is>
          <t>https://yakeey.com/fr-ma/achat/biens/64160</t>
        </is>
      </c>
    </row>
    <row r="1285">
      <c r="A1285" t="inlineStr">
        <is>
          <t>64440</t>
        </is>
      </c>
      <c r="B1285" t="inlineStr">
        <is>
          <t>VILLA</t>
        </is>
      </c>
      <c r="C1285" t="inlineStr">
        <is>
          <t>Sidi Maarouf</t>
        </is>
      </c>
      <c r="D1285" t="inlineStr">
        <is>
          <t>Casablanca</t>
        </is>
      </c>
      <c r="E1285" s="7" t="n">
        <v>5100000</v>
      </c>
      <c r="F1285" s="8" t="n">
        <v>315</v>
      </c>
      <c r="G1285" s="8" t="n"/>
      <c r="H1285" s="8" t="n"/>
      <c r="I1285" s="9">
        <f>IFERROR(E1285/F1285,"")</f>
        <v/>
      </c>
      <c r="J1285" t="n">
        <v>4</v>
      </c>
      <c r="K1285" t="n">
        <v>4</v>
      </c>
      <c r="P1285" t="inlineStr">
        <is>
          <t>LISTED</t>
        </is>
      </c>
      <c r="S1285" t="n">
        <v>33.52189256442813</v>
      </c>
      <c r="T1285" t="n">
        <v>-7.642773428990771</v>
      </c>
      <c r="U1285" s="7" t="n">
        <v>29340</v>
      </c>
      <c r="V1285" t="inlineStr"/>
      <c r="W1285" s="10" t="inlineStr">
        <is>
          <t>https://yakeey.com/fr-ma/achat/biens/64440</t>
        </is>
      </c>
    </row>
    <row r="1286">
      <c r="A1286" s="2" t="inlineStr">
        <is>
          <t>64516</t>
        </is>
      </c>
      <c r="B1286" s="2" t="inlineStr">
        <is>
          <t>VILLA</t>
        </is>
      </c>
      <c r="C1286" s="2" t="inlineStr">
        <is>
          <t>Malabata</t>
        </is>
      </c>
      <c r="D1286" s="2" t="inlineStr">
        <is>
          <t>Tanger</t>
        </is>
      </c>
      <c r="E1286" s="3" t="n">
        <v>18000000</v>
      </c>
      <c r="F1286" s="4" t="n">
        <v>1087</v>
      </c>
      <c r="G1286" s="4" t="n"/>
      <c r="H1286" s="4" t="n"/>
      <c r="I1286" s="5">
        <f>IFERROR(E1286/F1286,"")</f>
        <v/>
      </c>
      <c r="J1286" s="2" t="n">
        <v>4</v>
      </c>
      <c r="K1286" s="2" t="n">
        <v>5</v>
      </c>
      <c r="L1286" s="2" t="n"/>
      <c r="M1286" s="2" t="n"/>
      <c r="N1286" s="2" t="n"/>
      <c r="O1286" s="2" t="n"/>
      <c r="P1286" s="2" t="inlineStr">
        <is>
          <t>LISTED</t>
        </is>
      </c>
      <c r="Q1286" s="2" t="n"/>
      <c r="R1286" s="2" t="n"/>
      <c r="S1286" s="2" t="n">
        <v>35.77256167149686</v>
      </c>
      <c r="T1286" s="2" t="n">
        <v>-5.766916299024657</v>
      </c>
      <c r="U1286" s="3" t="n">
        <v>103555</v>
      </c>
      <c r="V1286" s="2" t="inlineStr"/>
      <c r="W1286" s="6" t="inlineStr">
        <is>
          <t>https://yakeey.com/fr-ma/achat/biens/64516</t>
        </is>
      </c>
    </row>
    <row r="1287">
      <c r="A1287" t="inlineStr">
        <is>
          <t>68240</t>
        </is>
      </c>
      <c r="B1287" t="inlineStr">
        <is>
          <t>VILLA</t>
        </is>
      </c>
      <c r="C1287" t="inlineStr">
        <is>
          <t>Bouskoura</t>
        </is>
      </c>
      <c r="D1287" t="inlineStr">
        <is>
          <t>Bouskoura</t>
        </is>
      </c>
      <c r="E1287" s="7" t="n">
        <v>8200000</v>
      </c>
      <c r="F1287" s="8" t="n">
        <v>10520</v>
      </c>
      <c r="G1287" s="8" t="n"/>
      <c r="H1287" s="8" t="n"/>
      <c r="I1287" s="9">
        <f>IFERROR(E1287/F1287,"")</f>
        <v/>
      </c>
      <c r="J1287" t="n">
        <v>3</v>
      </c>
      <c r="K1287" t="n">
        <v>3</v>
      </c>
      <c r="P1287" t="inlineStr">
        <is>
          <t>LISTED</t>
        </is>
      </c>
      <c r="S1287" t="n">
        <v>33.46211396645232</v>
      </c>
      <c r="T1287" t="n">
        <v>-7.617030362520049</v>
      </c>
      <c r="U1287" s="7" t="n">
        <v>47175</v>
      </c>
      <c r="V1287" t="inlineStr"/>
      <c r="W1287" s="10" t="inlineStr">
        <is>
          <t>https://yakeey.com/fr-ma/achat/biens/68240</t>
        </is>
      </c>
    </row>
    <row r="1288">
      <c r="A1288" s="2" t="inlineStr">
        <is>
          <t>68384</t>
        </is>
      </c>
      <c r="B1288" s="2" t="inlineStr">
        <is>
          <t>VILLA</t>
        </is>
      </c>
      <c r="C1288" s="2" t="inlineStr">
        <is>
          <t>Nouaceur</t>
        </is>
      </c>
      <c r="D1288" s="2" t="inlineStr">
        <is>
          <t>Nouaceur</t>
        </is>
      </c>
      <c r="E1288" s="3" t="n">
        <v>4200000</v>
      </c>
      <c r="F1288" s="4" t="n">
        <v>457</v>
      </c>
      <c r="G1288" s="4" t="n"/>
      <c r="H1288" s="4" t="n"/>
      <c r="I1288" s="5">
        <f>IFERROR(E1288/F1288,"")</f>
        <v/>
      </c>
      <c r="J1288" s="2" t="n">
        <v>5</v>
      </c>
      <c r="K1288" s="2" t="n">
        <v>3</v>
      </c>
      <c r="L1288" s="2" t="n"/>
      <c r="M1288" s="2" t="n"/>
      <c r="N1288" s="2" t="n"/>
      <c r="O1288" s="2" t="n"/>
      <c r="P1288" s="2" t="inlineStr">
        <is>
          <t>LISTED</t>
        </is>
      </c>
      <c r="Q1288" s="2" t="n"/>
      <c r="R1288" s="2" t="n"/>
      <c r="S1288" s="2" t="n">
        <v>33.39849345500283</v>
      </c>
      <c r="T1288" s="2" t="n">
        <v>-7.555958379295292</v>
      </c>
      <c r="U1288" s="3" t="n">
        <v>24162</v>
      </c>
      <c r="V1288" s="2" t="inlineStr"/>
      <c r="W1288" s="6" t="inlineStr">
        <is>
          <t>https://yakeey.com/fr-ma/achat/biens/68384</t>
        </is>
      </c>
    </row>
    <row r="1289">
      <c r="A1289" t="inlineStr">
        <is>
          <t>69251</t>
        </is>
      </c>
      <c r="B1289" t="inlineStr">
        <is>
          <t>VILLA</t>
        </is>
      </c>
      <c r="C1289" t="inlineStr">
        <is>
          <t>Ville Verte</t>
        </is>
      </c>
      <c r="D1289" t="inlineStr">
        <is>
          <t>Casablanca</t>
        </is>
      </c>
      <c r="E1289" s="7" t="n">
        <v>11000000</v>
      </c>
      <c r="F1289" s="8" t="n">
        <v>349</v>
      </c>
      <c r="G1289" s="8" t="n"/>
      <c r="H1289" s="8" t="n"/>
      <c r="I1289" s="9">
        <f>IFERROR(E1289/F1289,"")</f>
        <v/>
      </c>
      <c r="J1289" t="n">
        <v>4</v>
      </c>
      <c r="K1289" t="n">
        <v>3</v>
      </c>
      <c r="P1289" t="inlineStr">
        <is>
          <t>LISTED</t>
        </is>
      </c>
      <c r="S1289" t="n">
        <v>33.47575570107767</v>
      </c>
      <c r="T1289" t="n">
        <v>-7.603002264618357</v>
      </c>
      <c r="U1289" s="7" t="n">
        <v>63283</v>
      </c>
      <c r="V1289" t="inlineStr"/>
      <c r="W1289" s="10" t="inlineStr">
        <is>
          <t>https://yakeey.com/fr-ma/achat/biens/69251</t>
        </is>
      </c>
    </row>
    <row r="1290">
      <c r="A1290" s="2" t="inlineStr">
        <is>
          <t>71935</t>
        </is>
      </c>
      <c r="B1290" s="2" t="inlineStr">
        <is>
          <t>VILLA</t>
        </is>
      </c>
      <c r="C1290" s="2" t="inlineStr">
        <is>
          <t>Ain Sebaa</t>
        </is>
      </c>
      <c r="D1290" s="2" t="inlineStr">
        <is>
          <t>Casablanca</t>
        </is>
      </c>
      <c r="E1290" s="3" t="n">
        <v>2875000</v>
      </c>
      <c r="F1290" s="4" t="n">
        <v>210</v>
      </c>
      <c r="G1290" s="4" t="n"/>
      <c r="H1290" s="4" t="n"/>
      <c r="I1290" s="5">
        <f>IFERROR(E1290/F1290,"")</f>
        <v/>
      </c>
      <c r="J1290" s="2" t="n">
        <v>4</v>
      </c>
      <c r="K1290" s="2" t="n">
        <v>2</v>
      </c>
      <c r="L1290" s="2" t="n"/>
      <c r="M1290" s="2" t="n"/>
      <c r="N1290" s="2" t="n"/>
      <c r="O1290" s="2" t="n"/>
      <c r="P1290" s="2" t="inlineStr">
        <is>
          <t>LISTED</t>
        </is>
      </c>
      <c r="Q1290" s="2" t="n"/>
      <c r="R1290" s="2" t="n"/>
      <c r="S1290" s="2" t="n">
        <v>33.6143501535468</v>
      </c>
      <c r="T1290" s="2" t="n">
        <v>-7.537546522865602</v>
      </c>
      <c r="U1290" s="3" t="n">
        <v>16540</v>
      </c>
      <c r="V1290" s="2" t="inlineStr"/>
      <c r="W1290" s="6" t="inlineStr">
        <is>
          <t>https://yakeey.com/fr-ma/achat/biens/71935</t>
        </is>
      </c>
    </row>
    <row r="1291">
      <c r="A1291" t="inlineStr">
        <is>
          <t>76115</t>
        </is>
      </c>
      <c r="B1291" t="inlineStr">
        <is>
          <t>VILLA</t>
        </is>
      </c>
      <c r="C1291" t="inlineStr">
        <is>
          <t>Cil</t>
        </is>
      </c>
      <c r="D1291" t="inlineStr">
        <is>
          <t>Casablanca</t>
        </is>
      </c>
      <c r="E1291" s="7" t="n">
        <v>12760000</v>
      </c>
      <c r="F1291" s="8" t="n">
        <v>385</v>
      </c>
      <c r="G1291" s="8" t="n"/>
      <c r="H1291" s="8" t="n"/>
      <c r="I1291" s="9">
        <f>IFERROR(E1291/F1291,"")</f>
        <v/>
      </c>
      <c r="J1291" t="n">
        <v>6</v>
      </c>
      <c r="K1291" t="n">
        <v>5</v>
      </c>
      <c r="P1291" t="inlineStr">
        <is>
          <t>LISTED</t>
        </is>
      </c>
      <c r="S1291" t="n">
        <v>33.57665697637044</v>
      </c>
      <c r="T1291" t="n">
        <v>-7.65506474557125</v>
      </c>
      <c r="U1291" s="7" t="n">
        <v>73409</v>
      </c>
      <c r="V1291" t="inlineStr"/>
      <c r="W1291" s="10" t="inlineStr">
        <is>
          <t>https://yakeey.com/fr-ma/achat/biens/76115</t>
        </is>
      </c>
    </row>
    <row r="1292">
      <c r="A1292" s="2" t="inlineStr">
        <is>
          <t>7726</t>
        </is>
      </c>
      <c r="B1292" s="2" t="inlineStr">
        <is>
          <t>VILLA</t>
        </is>
      </c>
      <c r="C1292" s="2" t="inlineStr">
        <is>
          <t>Fadaat Al Mouhit</t>
        </is>
      </c>
      <c r="D1292" s="2" t="inlineStr">
        <is>
          <t>Casablanca</t>
        </is>
      </c>
      <c r="E1292" s="3" t="n">
        <v>9800000</v>
      </c>
      <c r="F1292" s="4" t="n">
        <v>987</v>
      </c>
      <c r="G1292" s="4" t="n"/>
      <c r="H1292" s="4" t="n"/>
      <c r="I1292" s="5">
        <f>IFERROR(E1292/F1292,"")</f>
        <v/>
      </c>
      <c r="J1292" s="2" t="n">
        <v>4</v>
      </c>
      <c r="K1292" s="2" t="n">
        <v>4</v>
      </c>
      <c r="L1292" s="2" t="n"/>
      <c r="M1292" s="2" t="n"/>
      <c r="N1292" s="2" t="n"/>
      <c r="O1292" s="2" t="n"/>
      <c r="P1292" s="2" t="inlineStr">
        <is>
          <t>LISTED</t>
        </is>
      </c>
      <c r="Q1292" s="2" t="n"/>
      <c r="R1292" s="2" t="n"/>
      <c r="S1292" s="2" t="n">
        <v>33.52145189744739</v>
      </c>
      <c r="T1292" s="2" t="n">
        <v>-7.786515482221462</v>
      </c>
      <c r="U1292" s="3" t="n">
        <v>56379</v>
      </c>
      <c r="V1292" s="2" t="inlineStr"/>
      <c r="W1292" s="6" t="inlineStr">
        <is>
          <t>https://yakeey.com/fr-ma/achat/biens/7726</t>
        </is>
      </c>
    </row>
    <row r="1293">
      <c r="A1293" t="inlineStr">
        <is>
          <t>78941</t>
        </is>
      </c>
      <c r="B1293" t="inlineStr">
        <is>
          <t>VILLA</t>
        </is>
      </c>
      <c r="C1293" t="inlineStr">
        <is>
          <t>Laymoune</t>
        </is>
      </c>
      <c r="D1293" t="inlineStr">
        <is>
          <t>Casablanca</t>
        </is>
      </c>
      <c r="E1293" s="7" t="n">
        <v>10900000</v>
      </c>
      <c r="F1293" s="8" t="n">
        <v>590</v>
      </c>
      <c r="G1293" s="8" t="n"/>
      <c r="H1293" s="8" t="n"/>
      <c r="I1293" s="9">
        <f>IFERROR(E1293/F1293,"")</f>
        <v/>
      </c>
      <c r="J1293" t="n">
        <v>4</v>
      </c>
      <c r="K1293" t="n">
        <v>3</v>
      </c>
      <c r="P1293" t="inlineStr">
        <is>
          <t>LISTED</t>
        </is>
      </c>
      <c r="S1293" t="n">
        <v>33.5415358044612</v>
      </c>
      <c r="T1293" t="n">
        <v>-7.668998926606185</v>
      </c>
      <c r="U1293" s="7" t="n">
        <v>62708</v>
      </c>
      <c r="V1293" t="inlineStr"/>
      <c r="W1293" s="10" t="inlineStr">
        <is>
          <t>https://yakeey.com/fr-ma/achat/biens/78941</t>
        </is>
      </c>
    </row>
    <row r="1294">
      <c r="A1294" s="2" t="inlineStr">
        <is>
          <t>83451</t>
        </is>
      </c>
      <c r="B1294" s="2" t="inlineStr">
        <is>
          <t>VILLA</t>
        </is>
      </c>
      <c r="C1294" s="2" t="inlineStr">
        <is>
          <t>Cil</t>
        </is>
      </c>
      <c r="D1294" s="2" t="inlineStr">
        <is>
          <t>Casablanca</t>
        </is>
      </c>
      <c r="E1294" s="3" t="n">
        <v>16874000</v>
      </c>
      <c r="F1294" s="4" t="n">
        <v>649</v>
      </c>
      <c r="G1294" s="4" t="n"/>
      <c r="H1294" s="4" t="n"/>
      <c r="I1294" s="5">
        <f>IFERROR(E1294/F1294,"")</f>
        <v/>
      </c>
      <c r="J1294" s="2" t="n">
        <v>5</v>
      </c>
      <c r="K1294" s="2" t="n">
        <v>3</v>
      </c>
      <c r="L1294" s="2" t="n"/>
      <c r="M1294" s="2" t="n"/>
      <c r="N1294" s="2" t="n"/>
      <c r="O1294" s="2" t="n"/>
      <c r="P1294" s="2" t="inlineStr">
        <is>
          <t>LISTED</t>
        </is>
      </c>
      <c r="Q1294" s="2" t="n"/>
      <c r="R1294" s="2" t="n"/>
      <c r="S1294" s="2" t="n">
        <v>33.57667107364428</v>
      </c>
      <c r="T1294" s="2" t="n">
        <v>-7.654516700836557</v>
      </c>
      <c r="U1294" s="3" t="n">
        <v>97077</v>
      </c>
      <c r="V1294" s="2" t="inlineStr"/>
      <c r="W1294" s="6" t="inlineStr">
        <is>
          <t>https://yakeey.com/fr-ma/achat/biens/83451</t>
        </is>
      </c>
    </row>
    <row r="1295">
      <c r="A1295" t="inlineStr">
        <is>
          <t>8685</t>
        </is>
      </c>
      <c r="B1295" t="inlineStr">
        <is>
          <t>VILLA</t>
        </is>
      </c>
      <c r="C1295" t="inlineStr">
        <is>
          <t>La Colline</t>
        </is>
      </c>
      <c r="D1295" t="inlineStr">
        <is>
          <t>Casablanca</t>
        </is>
      </c>
      <c r="E1295" s="7" t="n">
        <v>18500000</v>
      </c>
      <c r="F1295" s="8" t="n">
        <v>1034</v>
      </c>
      <c r="G1295" s="8" t="n"/>
      <c r="H1295" s="8" t="n"/>
      <c r="I1295" s="9">
        <f>IFERROR(E1295/F1295,"")</f>
        <v/>
      </c>
      <c r="J1295" t="n">
        <v>5</v>
      </c>
      <c r="K1295" t="n">
        <v>5</v>
      </c>
      <c r="P1295" t="inlineStr">
        <is>
          <t>LISTED</t>
        </is>
      </c>
      <c r="S1295" t="n">
        <v>33.53209005530042</v>
      </c>
      <c r="T1295" t="n">
        <v>-7.640506785729176</v>
      </c>
      <c r="U1295" s="7" t="n">
        <v>106431</v>
      </c>
      <c r="V1295" t="inlineStr"/>
      <c r="W1295" s="10" t="inlineStr">
        <is>
          <t>https://yakeey.com/fr-ma/achat/biens/8685</t>
        </is>
      </c>
    </row>
    <row r="1296">
      <c r="A1296" s="2" t="inlineStr">
        <is>
          <t>88114</t>
        </is>
      </c>
      <c r="B1296" s="2" t="inlineStr">
        <is>
          <t>VILLA</t>
        </is>
      </c>
      <c r="C1296" s="2" t="inlineStr">
        <is>
          <t>Laymoune</t>
        </is>
      </c>
      <c r="D1296" s="2" t="inlineStr">
        <is>
          <t>Casablanca</t>
        </is>
      </c>
      <c r="E1296" s="3" t="n">
        <v>7800000</v>
      </c>
      <c r="F1296" s="4" t="n">
        <v>400</v>
      </c>
      <c r="G1296" s="4" t="n"/>
      <c r="H1296" s="4" t="n"/>
      <c r="I1296" s="5">
        <f>IFERROR(E1296/F1296,"")</f>
        <v/>
      </c>
      <c r="J1296" s="2" t="n">
        <v>5</v>
      </c>
      <c r="K1296" s="2" t="n">
        <v>7</v>
      </c>
      <c r="L1296" s="2" t="n"/>
      <c r="M1296" s="2" t="n"/>
      <c r="N1296" s="2" t="n"/>
      <c r="O1296" s="2" t="n"/>
      <c r="P1296" s="2" t="inlineStr">
        <is>
          <t>LISTED</t>
        </is>
      </c>
      <c r="Q1296" s="2" t="n"/>
      <c r="R1296" s="2" t="n"/>
      <c r="S1296" s="2" t="n">
        <v>33.54273955055133</v>
      </c>
      <c r="T1296" s="2" t="n">
        <v>-7.666498743781099</v>
      </c>
      <c r="U1296" s="3" t="n">
        <v>44873</v>
      </c>
      <c r="V1296" s="2" t="inlineStr"/>
      <c r="W1296" s="6" t="inlineStr">
        <is>
          <t>https://yakeey.com/fr-ma/achat/biens/88114</t>
        </is>
      </c>
    </row>
    <row r="1297">
      <c r="A1297" t="inlineStr">
        <is>
          <t>88452</t>
        </is>
      </c>
      <c r="B1297" t="inlineStr">
        <is>
          <t>VILLA</t>
        </is>
      </c>
      <c r="C1297" t="inlineStr">
        <is>
          <t>Sindibad</t>
        </is>
      </c>
      <c r="D1297" t="inlineStr">
        <is>
          <t>Casablanca</t>
        </is>
      </c>
      <c r="E1297" s="7" t="n">
        <v>14500000</v>
      </c>
      <c r="F1297" s="8" t="n">
        <v>886</v>
      </c>
      <c r="G1297" s="8" t="n"/>
      <c r="H1297" s="8" t="n"/>
      <c r="I1297" s="9">
        <f>IFERROR(E1297/F1297,"")</f>
        <v/>
      </c>
      <c r="J1297" t="n">
        <v>4</v>
      </c>
      <c r="K1297" t="n">
        <v>3</v>
      </c>
      <c r="P1297" t="inlineStr">
        <is>
          <t>LISTED</t>
        </is>
      </c>
      <c r="S1297" t="n">
        <v>33.58683405933995</v>
      </c>
      <c r="T1297" t="n">
        <v>-7.685659306398832</v>
      </c>
      <c r="U1297" s="7" t="n">
        <v>83419</v>
      </c>
      <c r="V1297" t="inlineStr"/>
      <c r="W1297" s="10" t="inlineStr">
        <is>
          <t>https://yakeey.com/fr-ma/achat/biens/88452</t>
        </is>
      </c>
    </row>
    <row r="1298">
      <c r="A1298" s="2" t="inlineStr">
        <is>
          <t>88570</t>
        </is>
      </c>
      <c r="B1298" s="2" t="inlineStr">
        <is>
          <t>VILLA</t>
        </is>
      </c>
      <c r="C1298" s="2" t="inlineStr">
        <is>
          <t>Inara</t>
        </is>
      </c>
      <c r="D1298" s="2" t="inlineStr">
        <is>
          <t>Casablanca</t>
        </is>
      </c>
      <c r="E1298" s="3" t="n">
        <v>6335000</v>
      </c>
      <c r="F1298" s="4" t="n">
        <v>417</v>
      </c>
      <c r="G1298" s="4" t="n"/>
      <c r="H1298" s="4" t="n"/>
      <c r="I1298" s="5">
        <f>IFERROR(E1298/F1298,"")</f>
        <v/>
      </c>
      <c r="J1298" s="2" t="n">
        <v>3</v>
      </c>
      <c r="K1298" s="2" t="n">
        <v>2</v>
      </c>
      <c r="L1298" s="2" t="n"/>
      <c r="M1298" s="2" t="n"/>
      <c r="N1298" s="2" t="n"/>
      <c r="O1298" s="2" t="n"/>
      <c r="P1298" s="2" t="inlineStr">
        <is>
          <t>LISTED</t>
        </is>
      </c>
      <c r="Q1298" s="2" t="n"/>
      <c r="R1298" s="2" t="n"/>
      <c r="S1298" s="2" t="n">
        <v>33.52978019397567</v>
      </c>
      <c r="T1298" s="2" t="n">
        <v>-7.595832242733985</v>
      </c>
      <c r="U1298" s="3" t="n">
        <v>36445</v>
      </c>
      <c r="V1298" s="2" t="inlineStr"/>
      <c r="W1298" s="6" t="inlineStr">
        <is>
          <t>https://yakeey.com/fr-ma/achat/biens/88570</t>
        </is>
      </c>
    </row>
    <row r="1299">
      <c r="A1299" t="inlineStr">
        <is>
          <t>94697</t>
        </is>
      </c>
      <c r="B1299" t="inlineStr">
        <is>
          <t>VILLA</t>
        </is>
      </c>
      <c r="C1299" t="inlineStr">
        <is>
          <t>Florida - Mandarona</t>
        </is>
      </c>
      <c r="D1299" t="inlineStr">
        <is>
          <t>Casablanca</t>
        </is>
      </c>
      <c r="E1299" s="7" t="n">
        <v>6800000</v>
      </c>
      <c r="F1299" s="8" t="n">
        <v>374</v>
      </c>
      <c r="G1299" s="8" t="n"/>
      <c r="H1299" s="8" t="n"/>
      <c r="I1299" s="9">
        <f>IFERROR(E1299/F1299,"")</f>
        <v/>
      </c>
      <c r="J1299" t="n">
        <v>5</v>
      </c>
      <c r="K1299" t="n">
        <v>4</v>
      </c>
      <c r="P1299" t="inlineStr">
        <is>
          <t>LISTED</t>
        </is>
      </c>
      <c r="S1299" t="n">
        <v>33.53881184744363</v>
      </c>
      <c r="T1299" t="n">
        <v>-7.647656057434502</v>
      </c>
      <c r="U1299" s="7" t="n">
        <v>39120</v>
      </c>
      <c r="V1299" t="inlineStr"/>
      <c r="W1299" s="10" t="inlineStr">
        <is>
          <t>https://yakeey.com/fr-ma/achat/biens/94697</t>
        </is>
      </c>
    </row>
  </sheetData>
  <autoFilter ref="A1:W1299"/>
  <conditionalFormatting sqref="I2:I129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W2" r:id="rId1"/>
    <hyperlink xmlns:r="http://schemas.openxmlformats.org/officeDocument/2006/relationships" ref="W3" r:id="rId2"/>
    <hyperlink xmlns:r="http://schemas.openxmlformats.org/officeDocument/2006/relationships" ref="W4" r:id="rId3"/>
    <hyperlink xmlns:r="http://schemas.openxmlformats.org/officeDocument/2006/relationships" ref="W5" r:id="rId4"/>
    <hyperlink xmlns:r="http://schemas.openxmlformats.org/officeDocument/2006/relationships" ref="W6" r:id="rId5"/>
    <hyperlink xmlns:r="http://schemas.openxmlformats.org/officeDocument/2006/relationships" ref="W7" r:id="rId6"/>
    <hyperlink xmlns:r="http://schemas.openxmlformats.org/officeDocument/2006/relationships" ref="W8" r:id="rId7"/>
    <hyperlink xmlns:r="http://schemas.openxmlformats.org/officeDocument/2006/relationships" ref="W9" r:id="rId8"/>
    <hyperlink xmlns:r="http://schemas.openxmlformats.org/officeDocument/2006/relationships" ref="W10" r:id="rId9"/>
    <hyperlink xmlns:r="http://schemas.openxmlformats.org/officeDocument/2006/relationships" ref="W11" r:id="rId10"/>
    <hyperlink xmlns:r="http://schemas.openxmlformats.org/officeDocument/2006/relationships" ref="W12" r:id="rId11"/>
    <hyperlink xmlns:r="http://schemas.openxmlformats.org/officeDocument/2006/relationships" ref="W13" r:id="rId12"/>
    <hyperlink xmlns:r="http://schemas.openxmlformats.org/officeDocument/2006/relationships" ref="W14" r:id="rId13"/>
    <hyperlink xmlns:r="http://schemas.openxmlformats.org/officeDocument/2006/relationships" ref="W15" r:id="rId14"/>
    <hyperlink xmlns:r="http://schemas.openxmlformats.org/officeDocument/2006/relationships" ref="W16" r:id="rId15"/>
    <hyperlink xmlns:r="http://schemas.openxmlformats.org/officeDocument/2006/relationships" ref="W17" r:id="rId16"/>
    <hyperlink xmlns:r="http://schemas.openxmlformats.org/officeDocument/2006/relationships" ref="W18" r:id="rId17"/>
    <hyperlink xmlns:r="http://schemas.openxmlformats.org/officeDocument/2006/relationships" ref="W19" r:id="rId18"/>
    <hyperlink xmlns:r="http://schemas.openxmlformats.org/officeDocument/2006/relationships" ref="W20" r:id="rId19"/>
    <hyperlink xmlns:r="http://schemas.openxmlformats.org/officeDocument/2006/relationships" ref="W21" r:id="rId20"/>
    <hyperlink xmlns:r="http://schemas.openxmlformats.org/officeDocument/2006/relationships" ref="W22" r:id="rId21"/>
    <hyperlink xmlns:r="http://schemas.openxmlformats.org/officeDocument/2006/relationships" ref="W23" r:id="rId22"/>
    <hyperlink xmlns:r="http://schemas.openxmlformats.org/officeDocument/2006/relationships" ref="W24" r:id="rId23"/>
    <hyperlink xmlns:r="http://schemas.openxmlformats.org/officeDocument/2006/relationships" ref="W25" r:id="rId24"/>
    <hyperlink xmlns:r="http://schemas.openxmlformats.org/officeDocument/2006/relationships" ref="W26" r:id="rId25"/>
    <hyperlink xmlns:r="http://schemas.openxmlformats.org/officeDocument/2006/relationships" ref="W27" r:id="rId26"/>
    <hyperlink xmlns:r="http://schemas.openxmlformats.org/officeDocument/2006/relationships" ref="W28" r:id="rId27"/>
    <hyperlink xmlns:r="http://schemas.openxmlformats.org/officeDocument/2006/relationships" ref="W29" r:id="rId28"/>
    <hyperlink xmlns:r="http://schemas.openxmlformats.org/officeDocument/2006/relationships" ref="W30" r:id="rId29"/>
    <hyperlink xmlns:r="http://schemas.openxmlformats.org/officeDocument/2006/relationships" ref="W31" r:id="rId30"/>
    <hyperlink xmlns:r="http://schemas.openxmlformats.org/officeDocument/2006/relationships" ref="W32" r:id="rId31"/>
    <hyperlink xmlns:r="http://schemas.openxmlformats.org/officeDocument/2006/relationships" ref="W33" r:id="rId32"/>
    <hyperlink xmlns:r="http://schemas.openxmlformats.org/officeDocument/2006/relationships" ref="W34" r:id="rId33"/>
    <hyperlink xmlns:r="http://schemas.openxmlformats.org/officeDocument/2006/relationships" ref="W35" r:id="rId34"/>
    <hyperlink xmlns:r="http://schemas.openxmlformats.org/officeDocument/2006/relationships" ref="W36" r:id="rId35"/>
    <hyperlink xmlns:r="http://schemas.openxmlformats.org/officeDocument/2006/relationships" ref="W37" r:id="rId36"/>
    <hyperlink xmlns:r="http://schemas.openxmlformats.org/officeDocument/2006/relationships" ref="W38" r:id="rId37"/>
    <hyperlink xmlns:r="http://schemas.openxmlformats.org/officeDocument/2006/relationships" ref="W39" r:id="rId38"/>
    <hyperlink xmlns:r="http://schemas.openxmlformats.org/officeDocument/2006/relationships" ref="W40" r:id="rId39"/>
    <hyperlink xmlns:r="http://schemas.openxmlformats.org/officeDocument/2006/relationships" ref="W41" r:id="rId40"/>
    <hyperlink xmlns:r="http://schemas.openxmlformats.org/officeDocument/2006/relationships" ref="W42" r:id="rId41"/>
    <hyperlink xmlns:r="http://schemas.openxmlformats.org/officeDocument/2006/relationships" ref="W43" r:id="rId42"/>
    <hyperlink xmlns:r="http://schemas.openxmlformats.org/officeDocument/2006/relationships" ref="W44" r:id="rId43"/>
    <hyperlink xmlns:r="http://schemas.openxmlformats.org/officeDocument/2006/relationships" ref="W45" r:id="rId44"/>
    <hyperlink xmlns:r="http://schemas.openxmlformats.org/officeDocument/2006/relationships" ref="W46" r:id="rId45"/>
    <hyperlink xmlns:r="http://schemas.openxmlformats.org/officeDocument/2006/relationships" ref="W47" r:id="rId46"/>
    <hyperlink xmlns:r="http://schemas.openxmlformats.org/officeDocument/2006/relationships" ref="W48" r:id="rId47"/>
    <hyperlink xmlns:r="http://schemas.openxmlformats.org/officeDocument/2006/relationships" ref="W49" r:id="rId48"/>
    <hyperlink xmlns:r="http://schemas.openxmlformats.org/officeDocument/2006/relationships" ref="W50" r:id="rId49"/>
    <hyperlink xmlns:r="http://schemas.openxmlformats.org/officeDocument/2006/relationships" ref="W51" r:id="rId50"/>
    <hyperlink xmlns:r="http://schemas.openxmlformats.org/officeDocument/2006/relationships" ref="W52" r:id="rId51"/>
    <hyperlink xmlns:r="http://schemas.openxmlformats.org/officeDocument/2006/relationships" ref="W53" r:id="rId52"/>
    <hyperlink xmlns:r="http://schemas.openxmlformats.org/officeDocument/2006/relationships" ref="W54" r:id="rId53"/>
    <hyperlink xmlns:r="http://schemas.openxmlformats.org/officeDocument/2006/relationships" ref="W55" r:id="rId54"/>
    <hyperlink xmlns:r="http://schemas.openxmlformats.org/officeDocument/2006/relationships" ref="W56" r:id="rId55"/>
    <hyperlink xmlns:r="http://schemas.openxmlformats.org/officeDocument/2006/relationships" ref="W57" r:id="rId56"/>
    <hyperlink xmlns:r="http://schemas.openxmlformats.org/officeDocument/2006/relationships" ref="W58" r:id="rId57"/>
    <hyperlink xmlns:r="http://schemas.openxmlformats.org/officeDocument/2006/relationships" ref="W59" r:id="rId58"/>
    <hyperlink xmlns:r="http://schemas.openxmlformats.org/officeDocument/2006/relationships" ref="W60" r:id="rId59"/>
    <hyperlink xmlns:r="http://schemas.openxmlformats.org/officeDocument/2006/relationships" ref="W61" r:id="rId60"/>
    <hyperlink xmlns:r="http://schemas.openxmlformats.org/officeDocument/2006/relationships" ref="W62" r:id="rId61"/>
    <hyperlink xmlns:r="http://schemas.openxmlformats.org/officeDocument/2006/relationships" ref="W63" r:id="rId62"/>
    <hyperlink xmlns:r="http://schemas.openxmlformats.org/officeDocument/2006/relationships" ref="W64" r:id="rId63"/>
    <hyperlink xmlns:r="http://schemas.openxmlformats.org/officeDocument/2006/relationships" ref="W65" r:id="rId64"/>
    <hyperlink xmlns:r="http://schemas.openxmlformats.org/officeDocument/2006/relationships" ref="W66" r:id="rId65"/>
    <hyperlink xmlns:r="http://schemas.openxmlformats.org/officeDocument/2006/relationships" ref="W67" r:id="rId66"/>
    <hyperlink xmlns:r="http://schemas.openxmlformats.org/officeDocument/2006/relationships" ref="W68" r:id="rId67"/>
    <hyperlink xmlns:r="http://schemas.openxmlformats.org/officeDocument/2006/relationships" ref="W69" r:id="rId68"/>
    <hyperlink xmlns:r="http://schemas.openxmlformats.org/officeDocument/2006/relationships" ref="W70" r:id="rId69"/>
    <hyperlink xmlns:r="http://schemas.openxmlformats.org/officeDocument/2006/relationships" ref="W71" r:id="rId70"/>
    <hyperlink xmlns:r="http://schemas.openxmlformats.org/officeDocument/2006/relationships" ref="W72" r:id="rId71"/>
    <hyperlink xmlns:r="http://schemas.openxmlformats.org/officeDocument/2006/relationships" ref="W73" r:id="rId72"/>
    <hyperlink xmlns:r="http://schemas.openxmlformats.org/officeDocument/2006/relationships" ref="W74" r:id="rId73"/>
    <hyperlink xmlns:r="http://schemas.openxmlformats.org/officeDocument/2006/relationships" ref="W75" r:id="rId74"/>
    <hyperlink xmlns:r="http://schemas.openxmlformats.org/officeDocument/2006/relationships" ref="W76" r:id="rId75"/>
    <hyperlink xmlns:r="http://schemas.openxmlformats.org/officeDocument/2006/relationships" ref="W77" r:id="rId76"/>
    <hyperlink xmlns:r="http://schemas.openxmlformats.org/officeDocument/2006/relationships" ref="W78" r:id="rId77"/>
    <hyperlink xmlns:r="http://schemas.openxmlformats.org/officeDocument/2006/relationships" ref="W79" r:id="rId78"/>
    <hyperlink xmlns:r="http://schemas.openxmlformats.org/officeDocument/2006/relationships" ref="W80" r:id="rId79"/>
    <hyperlink xmlns:r="http://schemas.openxmlformats.org/officeDocument/2006/relationships" ref="W81" r:id="rId80"/>
    <hyperlink xmlns:r="http://schemas.openxmlformats.org/officeDocument/2006/relationships" ref="W82" r:id="rId81"/>
    <hyperlink xmlns:r="http://schemas.openxmlformats.org/officeDocument/2006/relationships" ref="W83" r:id="rId82"/>
    <hyperlink xmlns:r="http://schemas.openxmlformats.org/officeDocument/2006/relationships" ref="W84" r:id="rId83"/>
    <hyperlink xmlns:r="http://schemas.openxmlformats.org/officeDocument/2006/relationships" ref="W85" r:id="rId84"/>
    <hyperlink xmlns:r="http://schemas.openxmlformats.org/officeDocument/2006/relationships" ref="W86" r:id="rId85"/>
    <hyperlink xmlns:r="http://schemas.openxmlformats.org/officeDocument/2006/relationships" ref="W87" r:id="rId86"/>
    <hyperlink xmlns:r="http://schemas.openxmlformats.org/officeDocument/2006/relationships" ref="W88" r:id="rId87"/>
    <hyperlink xmlns:r="http://schemas.openxmlformats.org/officeDocument/2006/relationships" ref="W89" r:id="rId88"/>
    <hyperlink xmlns:r="http://schemas.openxmlformats.org/officeDocument/2006/relationships" ref="W90" r:id="rId89"/>
    <hyperlink xmlns:r="http://schemas.openxmlformats.org/officeDocument/2006/relationships" ref="W91" r:id="rId90"/>
    <hyperlink xmlns:r="http://schemas.openxmlformats.org/officeDocument/2006/relationships" ref="W92" r:id="rId91"/>
    <hyperlink xmlns:r="http://schemas.openxmlformats.org/officeDocument/2006/relationships" ref="W93" r:id="rId92"/>
    <hyperlink xmlns:r="http://schemas.openxmlformats.org/officeDocument/2006/relationships" ref="W94" r:id="rId93"/>
    <hyperlink xmlns:r="http://schemas.openxmlformats.org/officeDocument/2006/relationships" ref="W95" r:id="rId94"/>
    <hyperlink xmlns:r="http://schemas.openxmlformats.org/officeDocument/2006/relationships" ref="W96" r:id="rId95"/>
    <hyperlink xmlns:r="http://schemas.openxmlformats.org/officeDocument/2006/relationships" ref="W97" r:id="rId96"/>
    <hyperlink xmlns:r="http://schemas.openxmlformats.org/officeDocument/2006/relationships" ref="W98" r:id="rId97"/>
    <hyperlink xmlns:r="http://schemas.openxmlformats.org/officeDocument/2006/relationships" ref="W99" r:id="rId98"/>
    <hyperlink xmlns:r="http://schemas.openxmlformats.org/officeDocument/2006/relationships" ref="W100" r:id="rId99"/>
    <hyperlink xmlns:r="http://schemas.openxmlformats.org/officeDocument/2006/relationships" ref="W101" r:id="rId100"/>
    <hyperlink xmlns:r="http://schemas.openxmlformats.org/officeDocument/2006/relationships" ref="W102" r:id="rId101"/>
    <hyperlink xmlns:r="http://schemas.openxmlformats.org/officeDocument/2006/relationships" ref="W103" r:id="rId102"/>
    <hyperlink xmlns:r="http://schemas.openxmlformats.org/officeDocument/2006/relationships" ref="W104" r:id="rId103"/>
    <hyperlink xmlns:r="http://schemas.openxmlformats.org/officeDocument/2006/relationships" ref="W105" r:id="rId104"/>
    <hyperlink xmlns:r="http://schemas.openxmlformats.org/officeDocument/2006/relationships" ref="W106" r:id="rId105"/>
    <hyperlink xmlns:r="http://schemas.openxmlformats.org/officeDocument/2006/relationships" ref="W107" r:id="rId106"/>
    <hyperlink xmlns:r="http://schemas.openxmlformats.org/officeDocument/2006/relationships" ref="W108" r:id="rId107"/>
    <hyperlink xmlns:r="http://schemas.openxmlformats.org/officeDocument/2006/relationships" ref="W109" r:id="rId108"/>
    <hyperlink xmlns:r="http://schemas.openxmlformats.org/officeDocument/2006/relationships" ref="W110" r:id="rId109"/>
    <hyperlink xmlns:r="http://schemas.openxmlformats.org/officeDocument/2006/relationships" ref="W111" r:id="rId110"/>
    <hyperlink xmlns:r="http://schemas.openxmlformats.org/officeDocument/2006/relationships" ref="W112" r:id="rId111"/>
    <hyperlink xmlns:r="http://schemas.openxmlformats.org/officeDocument/2006/relationships" ref="W113" r:id="rId112"/>
    <hyperlink xmlns:r="http://schemas.openxmlformats.org/officeDocument/2006/relationships" ref="W114" r:id="rId113"/>
    <hyperlink xmlns:r="http://schemas.openxmlformats.org/officeDocument/2006/relationships" ref="W115" r:id="rId114"/>
    <hyperlink xmlns:r="http://schemas.openxmlformats.org/officeDocument/2006/relationships" ref="W116" r:id="rId115"/>
    <hyperlink xmlns:r="http://schemas.openxmlformats.org/officeDocument/2006/relationships" ref="W117" r:id="rId116"/>
    <hyperlink xmlns:r="http://schemas.openxmlformats.org/officeDocument/2006/relationships" ref="W118" r:id="rId117"/>
    <hyperlink xmlns:r="http://schemas.openxmlformats.org/officeDocument/2006/relationships" ref="W119" r:id="rId118"/>
    <hyperlink xmlns:r="http://schemas.openxmlformats.org/officeDocument/2006/relationships" ref="W120" r:id="rId119"/>
    <hyperlink xmlns:r="http://schemas.openxmlformats.org/officeDocument/2006/relationships" ref="W121" r:id="rId120"/>
    <hyperlink xmlns:r="http://schemas.openxmlformats.org/officeDocument/2006/relationships" ref="W122" r:id="rId121"/>
    <hyperlink xmlns:r="http://schemas.openxmlformats.org/officeDocument/2006/relationships" ref="W123" r:id="rId122"/>
    <hyperlink xmlns:r="http://schemas.openxmlformats.org/officeDocument/2006/relationships" ref="W124" r:id="rId123"/>
    <hyperlink xmlns:r="http://schemas.openxmlformats.org/officeDocument/2006/relationships" ref="W125" r:id="rId124"/>
    <hyperlink xmlns:r="http://schemas.openxmlformats.org/officeDocument/2006/relationships" ref="W126" r:id="rId125"/>
    <hyperlink xmlns:r="http://schemas.openxmlformats.org/officeDocument/2006/relationships" ref="W127" r:id="rId126"/>
    <hyperlink xmlns:r="http://schemas.openxmlformats.org/officeDocument/2006/relationships" ref="W128" r:id="rId127"/>
    <hyperlink xmlns:r="http://schemas.openxmlformats.org/officeDocument/2006/relationships" ref="W129" r:id="rId128"/>
    <hyperlink xmlns:r="http://schemas.openxmlformats.org/officeDocument/2006/relationships" ref="W130" r:id="rId129"/>
    <hyperlink xmlns:r="http://schemas.openxmlformats.org/officeDocument/2006/relationships" ref="W131" r:id="rId130"/>
    <hyperlink xmlns:r="http://schemas.openxmlformats.org/officeDocument/2006/relationships" ref="W132" r:id="rId131"/>
    <hyperlink xmlns:r="http://schemas.openxmlformats.org/officeDocument/2006/relationships" ref="W133" r:id="rId132"/>
    <hyperlink xmlns:r="http://schemas.openxmlformats.org/officeDocument/2006/relationships" ref="W134" r:id="rId133"/>
    <hyperlink xmlns:r="http://schemas.openxmlformats.org/officeDocument/2006/relationships" ref="W135" r:id="rId134"/>
    <hyperlink xmlns:r="http://schemas.openxmlformats.org/officeDocument/2006/relationships" ref="W136" r:id="rId135"/>
    <hyperlink xmlns:r="http://schemas.openxmlformats.org/officeDocument/2006/relationships" ref="W137" r:id="rId136"/>
    <hyperlink xmlns:r="http://schemas.openxmlformats.org/officeDocument/2006/relationships" ref="W138" r:id="rId137"/>
    <hyperlink xmlns:r="http://schemas.openxmlformats.org/officeDocument/2006/relationships" ref="W139" r:id="rId138"/>
    <hyperlink xmlns:r="http://schemas.openxmlformats.org/officeDocument/2006/relationships" ref="W140" r:id="rId139"/>
    <hyperlink xmlns:r="http://schemas.openxmlformats.org/officeDocument/2006/relationships" ref="W141" r:id="rId140"/>
    <hyperlink xmlns:r="http://schemas.openxmlformats.org/officeDocument/2006/relationships" ref="W142" r:id="rId141"/>
    <hyperlink xmlns:r="http://schemas.openxmlformats.org/officeDocument/2006/relationships" ref="W143" r:id="rId142"/>
    <hyperlink xmlns:r="http://schemas.openxmlformats.org/officeDocument/2006/relationships" ref="W144" r:id="rId143"/>
    <hyperlink xmlns:r="http://schemas.openxmlformats.org/officeDocument/2006/relationships" ref="W145" r:id="rId144"/>
    <hyperlink xmlns:r="http://schemas.openxmlformats.org/officeDocument/2006/relationships" ref="W146" r:id="rId145"/>
    <hyperlink xmlns:r="http://schemas.openxmlformats.org/officeDocument/2006/relationships" ref="W147" r:id="rId146"/>
    <hyperlink xmlns:r="http://schemas.openxmlformats.org/officeDocument/2006/relationships" ref="W148" r:id="rId147"/>
    <hyperlink xmlns:r="http://schemas.openxmlformats.org/officeDocument/2006/relationships" ref="W149" r:id="rId148"/>
    <hyperlink xmlns:r="http://schemas.openxmlformats.org/officeDocument/2006/relationships" ref="W150" r:id="rId149"/>
    <hyperlink xmlns:r="http://schemas.openxmlformats.org/officeDocument/2006/relationships" ref="W151" r:id="rId150"/>
    <hyperlink xmlns:r="http://schemas.openxmlformats.org/officeDocument/2006/relationships" ref="W152" r:id="rId151"/>
    <hyperlink xmlns:r="http://schemas.openxmlformats.org/officeDocument/2006/relationships" ref="W153" r:id="rId152"/>
    <hyperlink xmlns:r="http://schemas.openxmlformats.org/officeDocument/2006/relationships" ref="W154" r:id="rId153"/>
    <hyperlink xmlns:r="http://schemas.openxmlformats.org/officeDocument/2006/relationships" ref="W155" r:id="rId154"/>
    <hyperlink xmlns:r="http://schemas.openxmlformats.org/officeDocument/2006/relationships" ref="W156" r:id="rId155"/>
    <hyperlink xmlns:r="http://schemas.openxmlformats.org/officeDocument/2006/relationships" ref="W157" r:id="rId156"/>
    <hyperlink xmlns:r="http://schemas.openxmlformats.org/officeDocument/2006/relationships" ref="W158" r:id="rId157"/>
    <hyperlink xmlns:r="http://schemas.openxmlformats.org/officeDocument/2006/relationships" ref="W159" r:id="rId158"/>
    <hyperlink xmlns:r="http://schemas.openxmlformats.org/officeDocument/2006/relationships" ref="W160" r:id="rId159"/>
    <hyperlink xmlns:r="http://schemas.openxmlformats.org/officeDocument/2006/relationships" ref="W161" r:id="rId160"/>
    <hyperlink xmlns:r="http://schemas.openxmlformats.org/officeDocument/2006/relationships" ref="W162" r:id="rId161"/>
    <hyperlink xmlns:r="http://schemas.openxmlformats.org/officeDocument/2006/relationships" ref="W163" r:id="rId162"/>
    <hyperlink xmlns:r="http://schemas.openxmlformats.org/officeDocument/2006/relationships" ref="W164" r:id="rId163"/>
    <hyperlink xmlns:r="http://schemas.openxmlformats.org/officeDocument/2006/relationships" ref="W165" r:id="rId164"/>
    <hyperlink xmlns:r="http://schemas.openxmlformats.org/officeDocument/2006/relationships" ref="W166" r:id="rId165"/>
    <hyperlink xmlns:r="http://schemas.openxmlformats.org/officeDocument/2006/relationships" ref="W167" r:id="rId166"/>
    <hyperlink xmlns:r="http://schemas.openxmlformats.org/officeDocument/2006/relationships" ref="W168" r:id="rId167"/>
    <hyperlink xmlns:r="http://schemas.openxmlformats.org/officeDocument/2006/relationships" ref="W169" r:id="rId168"/>
    <hyperlink xmlns:r="http://schemas.openxmlformats.org/officeDocument/2006/relationships" ref="W170" r:id="rId169"/>
    <hyperlink xmlns:r="http://schemas.openxmlformats.org/officeDocument/2006/relationships" ref="W171" r:id="rId170"/>
    <hyperlink xmlns:r="http://schemas.openxmlformats.org/officeDocument/2006/relationships" ref="W172" r:id="rId171"/>
    <hyperlink xmlns:r="http://schemas.openxmlformats.org/officeDocument/2006/relationships" ref="W173" r:id="rId172"/>
    <hyperlink xmlns:r="http://schemas.openxmlformats.org/officeDocument/2006/relationships" ref="W174" r:id="rId173"/>
    <hyperlink xmlns:r="http://schemas.openxmlformats.org/officeDocument/2006/relationships" ref="W175" r:id="rId174"/>
    <hyperlink xmlns:r="http://schemas.openxmlformats.org/officeDocument/2006/relationships" ref="W176" r:id="rId175"/>
    <hyperlink xmlns:r="http://schemas.openxmlformats.org/officeDocument/2006/relationships" ref="W177" r:id="rId176"/>
    <hyperlink xmlns:r="http://schemas.openxmlformats.org/officeDocument/2006/relationships" ref="W178" r:id="rId177"/>
    <hyperlink xmlns:r="http://schemas.openxmlformats.org/officeDocument/2006/relationships" ref="W179" r:id="rId178"/>
    <hyperlink xmlns:r="http://schemas.openxmlformats.org/officeDocument/2006/relationships" ref="W180" r:id="rId179"/>
    <hyperlink xmlns:r="http://schemas.openxmlformats.org/officeDocument/2006/relationships" ref="W181" r:id="rId180"/>
    <hyperlink xmlns:r="http://schemas.openxmlformats.org/officeDocument/2006/relationships" ref="W182" r:id="rId181"/>
    <hyperlink xmlns:r="http://schemas.openxmlformats.org/officeDocument/2006/relationships" ref="W183" r:id="rId182"/>
    <hyperlink xmlns:r="http://schemas.openxmlformats.org/officeDocument/2006/relationships" ref="W184" r:id="rId183"/>
    <hyperlink xmlns:r="http://schemas.openxmlformats.org/officeDocument/2006/relationships" ref="W185" r:id="rId184"/>
    <hyperlink xmlns:r="http://schemas.openxmlformats.org/officeDocument/2006/relationships" ref="W186" r:id="rId185"/>
    <hyperlink xmlns:r="http://schemas.openxmlformats.org/officeDocument/2006/relationships" ref="W187" r:id="rId186"/>
    <hyperlink xmlns:r="http://schemas.openxmlformats.org/officeDocument/2006/relationships" ref="W188" r:id="rId187"/>
    <hyperlink xmlns:r="http://schemas.openxmlformats.org/officeDocument/2006/relationships" ref="W189" r:id="rId188"/>
    <hyperlink xmlns:r="http://schemas.openxmlformats.org/officeDocument/2006/relationships" ref="W190" r:id="rId189"/>
    <hyperlink xmlns:r="http://schemas.openxmlformats.org/officeDocument/2006/relationships" ref="W191" r:id="rId190"/>
    <hyperlink xmlns:r="http://schemas.openxmlformats.org/officeDocument/2006/relationships" ref="W192" r:id="rId191"/>
    <hyperlink xmlns:r="http://schemas.openxmlformats.org/officeDocument/2006/relationships" ref="W193" r:id="rId192"/>
    <hyperlink xmlns:r="http://schemas.openxmlformats.org/officeDocument/2006/relationships" ref="W194" r:id="rId193"/>
    <hyperlink xmlns:r="http://schemas.openxmlformats.org/officeDocument/2006/relationships" ref="W195" r:id="rId194"/>
    <hyperlink xmlns:r="http://schemas.openxmlformats.org/officeDocument/2006/relationships" ref="W196" r:id="rId195"/>
    <hyperlink xmlns:r="http://schemas.openxmlformats.org/officeDocument/2006/relationships" ref="W197" r:id="rId196"/>
    <hyperlink xmlns:r="http://schemas.openxmlformats.org/officeDocument/2006/relationships" ref="W198" r:id="rId197"/>
    <hyperlink xmlns:r="http://schemas.openxmlformats.org/officeDocument/2006/relationships" ref="W199" r:id="rId198"/>
    <hyperlink xmlns:r="http://schemas.openxmlformats.org/officeDocument/2006/relationships" ref="W200" r:id="rId199"/>
    <hyperlink xmlns:r="http://schemas.openxmlformats.org/officeDocument/2006/relationships" ref="W201" r:id="rId200"/>
    <hyperlink xmlns:r="http://schemas.openxmlformats.org/officeDocument/2006/relationships" ref="W202" r:id="rId201"/>
    <hyperlink xmlns:r="http://schemas.openxmlformats.org/officeDocument/2006/relationships" ref="W203" r:id="rId202"/>
    <hyperlink xmlns:r="http://schemas.openxmlformats.org/officeDocument/2006/relationships" ref="W204" r:id="rId203"/>
    <hyperlink xmlns:r="http://schemas.openxmlformats.org/officeDocument/2006/relationships" ref="W205" r:id="rId204"/>
    <hyperlink xmlns:r="http://schemas.openxmlformats.org/officeDocument/2006/relationships" ref="W206" r:id="rId205"/>
    <hyperlink xmlns:r="http://schemas.openxmlformats.org/officeDocument/2006/relationships" ref="W207" r:id="rId206"/>
    <hyperlink xmlns:r="http://schemas.openxmlformats.org/officeDocument/2006/relationships" ref="W208" r:id="rId207"/>
    <hyperlink xmlns:r="http://schemas.openxmlformats.org/officeDocument/2006/relationships" ref="W209" r:id="rId208"/>
    <hyperlink xmlns:r="http://schemas.openxmlformats.org/officeDocument/2006/relationships" ref="W210" r:id="rId209"/>
    <hyperlink xmlns:r="http://schemas.openxmlformats.org/officeDocument/2006/relationships" ref="W211" r:id="rId210"/>
    <hyperlink xmlns:r="http://schemas.openxmlformats.org/officeDocument/2006/relationships" ref="W212" r:id="rId211"/>
    <hyperlink xmlns:r="http://schemas.openxmlformats.org/officeDocument/2006/relationships" ref="W213" r:id="rId212"/>
    <hyperlink xmlns:r="http://schemas.openxmlformats.org/officeDocument/2006/relationships" ref="W214" r:id="rId213"/>
    <hyperlink xmlns:r="http://schemas.openxmlformats.org/officeDocument/2006/relationships" ref="W215" r:id="rId214"/>
    <hyperlink xmlns:r="http://schemas.openxmlformats.org/officeDocument/2006/relationships" ref="W216" r:id="rId215"/>
    <hyperlink xmlns:r="http://schemas.openxmlformats.org/officeDocument/2006/relationships" ref="W217" r:id="rId216"/>
    <hyperlink xmlns:r="http://schemas.openxmlformats.org/officeDocument/2006/relationships" ref="W218" r:id="rId217"/>
    <hyperlink xmlns:r="http://schemas.openxmlformats.org/officeDocument/2006/relationships" ref="W219" r:id="rId218"/>
    <hyperlink xmlns:r="http://schemas.openxmlformats.org/officeDocument/2006/relationships" ref="W220" r:id="rId219"/>
    <hyperlink xmlns:r="http://schemas.openxmlformats.org/officeDocument/2006/relationships" ref="W221" r:id="rId220"/>
    <hyperlink xmlns:r="http://schemas.openxmlformats.org/officeDocument/2006/relationships" ref="W222" r:id="rId221"/>
    <hyperlink xmlns:r="http://schemas.openxmlformats.org/officeDocument/2006/relationships" ref="W223" r:id="rId222"/>
    <hyperlink xmlns:r="http://schemas.openxmlformats.org/officeDocument/2006/relationships" ref="W224" r:id="rId223"/>
    <hyperlink xmlns:r="http://schemas.openxmlformats.org/officeDocument/2006/relationships" ref="W225" r:id="rId224"/>
    <hyperlink xmlns:r="http://schemas.openxmlformats.org/officeDocument/2006/relationships" ref="W226" r:id="rId225"/>
    <hyperlink xmlns:r="http://schemas.openxmlformats.org/officeDocument/2006/relationships" ref="W227" r:id="rId226"/>
    <hyperlink xmlns:r="http://schemas.openxmlformats.org/officeDocument/2006/relationships" ref="W228" r:id="rId227"/>
    <hyperlink xmlns:r="http://schemas.openxmlformats.org/officeDocument/2006/relationships" ref="W229" r:id="rId228"/>
    <hyperlink xmlns:r="http://schemas.openxmlformats.org/officeDocument/2006/relationships" ref="W230" r:id="rId229"/>
    <hyperlink xmlns:r="http://schemas.openxmlformats.org/officeDocument/2006/relationships" ref="W231" r:id="rId230"/>
    <hyperlink xmlns:r="http://schemas.openxmlformats.org/officeDocument/2006/relationships" ref="W232" r:id="rId231"/>
    <hyperlink xmlns:r="http://schemas.openxmlformats.org/officeDocument/2006/relationships" ref="W233" r:id="rId232"/>
    <hyperlink xmlns:r="http://schemas.openxmlformats.org/officeDocument/2006/relationships" ref="W234" r:id="rId233"/>
    <hyperlink xmlns:r="http://schemas.openxmlformats.org/officeDocument/2006/relationships" ref="W235" r:id="rId234"/>
    <hyperlink xmlns:r="http://schemas.openxmlformats.org/officeDocument/2006/relationships" ref="W236" r:id="rId235"/>
    <hyperlink xmlns:r="http://schemas.openxmlformats.org/officeDocument/2006/relationships" ref="W237" r:id="rId236"/>
    <hyperlink xmlns:r="http://schemas.openxmlformats.org/officeDocument/2006/relationships" ref="W238" r:id="rId237"/>
    <hyperlink xmlns:r="http://schemas.openxmlformats.org/officeDocument/2006/relationships" ref="W239" r:id="rId238"/>
    <hyperlink xmlns:r="http://schemas.openxmlformats.org/officeDocument/2006/relationships" ref="W240" r:id="rId239"/>
    <hyperlink xmlns:r="http://schemas.openxmlformats.org/officeDocument/2006/relationships" ref="W241" r:id="rId240"/>
    <hyperlink xmlns:r="http://schemas.openxmlformats.org/officeDocument/2006/relationships" ref="W242" r:id="rId241"/>
    <hyperlink xmlns:r="http://schemas.openxmlformats.org/officeDocument/2006/relationships" ref="W243" r:id="rId242"/>
    <hyperlink xmlns:r="http://schemas.openxmlformats.org/officeDocument/2006/relationships" ref="W244" r:id="rId243"/>
    <hyperlink xmlns:r="http://schemas.openxmlformats.org/officeDocument/2006/relationships" ref="W245" r:id="rId244"/>
    <hyperlink xmlns:r="http://schemas.openxmlformats.org/officeDocument/2006/relationships" ref="W246" r:id="rId245"/>
    <hyperlink xmlns:r="http://schemas.openxmlformats.org/officeDocument/2006/relationships" ref="W247" r:id="rId246"/>
    <hyperlink xmlns:r="http://schemas.openxmlformats.org/officeDocument/2006/relationships" ref="W248" r:id="rId247"/>
    <hyperlink xmlns:r="http://schemas.openxmlformats.org/officeDocument/2006/relationships" ref="W249" r:id="rId248"/>
    <hyperlink xmlns:r="http://schemas.openxmlformats.org/officeDocument/2006/relationships" ref="W250" r:id="rId249"/>
    <hyperlink xmlns:r="http://schemas.openxmlformats.org/officeDocument/2006/relationships" ref="W251" r:id="rId250"/>
    <hyperlink xmlns:r="http://schemas.openxmlformats.org/officeDocument/2006/relationships" ref="W252" r:id="rId251"/>
    <hyperlink xmlns:r="http://schemas.openxmlformats.org/officeDocument/2006/relationships" ref="W253" r:id="rId252"/>
    <hyperlink xmlns:r="http://schemas.openxmlformats.org/officeDocument/2006/relationships" ref="W254" r:id="rId253"/>
    <hyperlink xmlns:r="http://schemas.openxmlformats.org/officeDocument/2006/relationships" ref="W255" r:id="rId254"/>
    <hyperlink xmlns:r="http://schemas.openxmlformats.org/officeDocument/2006/relationships" ref="W256" r:id="rId255"/>
    <hyperlink xmlns:r="http://schemas.openxmlformats.org/officeDocument/2006/relationships" ref="W257" r:id="rId256"/>
    <hyperlink xmlns:r="http://schemas.openxmlformats.org/officeDocument/2006/relationships" ref="W258" r:id="rId257"/>
    <hyperlink xmlns:r="http://schemas.openxmlformats.org/officeDocument/2006/relationships" ref="W259" r:id="rId258"/>
    <hyperlink xmlns:r="http://schemas.openxmlformats.org/officeDocument/2006/relationships" ref="W260" r:id="rId259"/>
    <hyperlink xmlns:r="http://schemas.openxmlformats.org/officeDocument/2006/relationships" ref="W261" r:id="rId260"/>
    <hyperlink xmlns:r="http://schemas.openxmlformats.org/officeDocument/2006/relationships" ref="W262" r:id="rId261"/>
    <hyperlink xmlns:r="http://schemas.openxmlformats.org/officeDocument/2006/relationships" ref="W263" r:id="rId262"/>
    <hyperlink xmlns:r="http://schemas.openxmlformats.org/officeDocument/2006/relationships" ref="W264" r:id="rId263"/>
    <hyperlink xmlns:r="http://schemas.openxmlformats.org/officeDocument/2006/relationships" ref="W265" r:id="rId264"/>
    <hyperlink xmlns:r="http://schemas.openxmlformats.org/officeDocument/2006/relationships" ref="W266" r:id="rId265"/>
    <hyperlink xmlns:r="http://schemas.openxmlformats.org/officeDocument/2006/relationships" ref="W267" r:id="rId266"/>
    <hyperlink xmlns:r="http://schemas.openxmlformats.org/officeDocument/2006/relationships" ref="W268" r:id="rId267"/>
    <hyperlink xmlns:r="http://schemas.openxmlformats.org/officeDocument/2006/relationships" ref="W269" r:id="rId268"/>
    <hyperlink xmlns:r="http://schemas.openxmlformats.org/officeDocument/2006/relationships" ref="W270" r:id="rId269"/>
    <hyperlink xmlns:r="http://schemas.openxmlformats.org/officeDocument/2006/relationships" ref="W271" r:id="rId270"/>
    <hyperlink xmlns:r="http://schemas.openxmlformats.org/officeDocument/2006/relationships" ref="W272" r:id="rId271"/>
    <hyperlink xmlns:r="http://schemas.openxmlformats.org/officeDocument/2006/relationships" ref="W273" r:id="rId272"/>
    <hyperlink xmlns:r="http://schemas.openxmlformats.org/officeDocument/2006/relationships" ref="W274" r:id="rId273"/>
    <hyperlink xmlns:r="http://schemas.openxmlformats.org/officeDocument/2006/relationships" ref="W275" r:id="rId274"/>
    <hyperlink xmlns:r="http://schemas.openxmlformats.org/officeDocument/2006/relationships" ref="W276" r:id="rId275"/>
    <hyperlink xmlns:r="http://schemas.openxmlformats.org/officeDocument/2006/relationships" ref="W277" r:id="rId276"/>
    <hyperlink xmlns:r="http://schemas.openxmlformats.org/officeDocument/2006/relationships" ref="W278" r:id="rId277"/>
    <hyperlink xmlns:r="http://schemas.openxmlformats.org/officeDocument/2006/relationships" ref="W279" r:id="rId278"/>
    <hyperlink xmlns:r="http://schemas.openxmlformats.org/officeDocument/2006/relationships" ref="W280" r:id="rId279"/>
    <hyperlink xmlns:r="http://schemas.openxmlformats.org/officeDocument/2006/relationships" ref="W281" r:id="rId280"/>
    <hyperlink xmlns:r="http://schemas.openxmlformats.org/officeDocument/2006/relationships" ref="W282" r:id="rId281"/>
    <hyperlink xmlns:r="http://schemas.openxmlformats.org/officeDocument/2006/relationships" ref="W283" r:id="rId282"/>
    <hyperlink xmlns:r="http://schemas.openxmlformats.org/officeDocument/2006/relationships" ref="W284" r:id="rId283"/>
    <hyperlink xmlns:r="http://schemas.openxmlformats.org/officeDocument/2006/relationships" ref="W285" r:id="rId284"/>
    <hyperlink xmlns:r="http://schemas.openxmlformats.org/officeDocument/2006/relationships" ref="W286" r:id="rId285"/>
    <hyperlink xmlns:r="http://schemas.openxmlformats.org/officeDocument/2006/relationships" ref="W287" r:id="rId286"/>
    <hyperlink xmlns:r="http://schemas.openxmlformats.org/officeDocument/2006/relationships" ref="W288" r:id="rId287"/>
    <hyperlink xmlns:r="http://schemas.openxmlformats.org/officeDocument/2006/relationships" ref="W289" r:id="rId288"/>
    <hyperlink xmlns:r="http://schemas.openxmlformats.org/officeDocument/2006/relationships" ref="W290" r:id="rId289"/>
    <hyperlink xmlns:r="http://schemas.openxmlformats.org/officeDocument/2006/relationships" ref="W291" r:id="rId290"/>
    <hyperlink xmlns:r="http://schemas.openxmlformats.org/officeDocument/2006/relationships" ref="W292" r:id="rId291"/>
    <hyperlink xmlns:r="http://schemas.openxmlformats.org/officeDocument/2006/relationships" ref="W293" r:id="rId292"/>
    <hyperlink xmlns:r="http://schemas.openxmlformats.org/officeDocument/2006/relationships" ref="W294" r:id="rId293"/>
    <hyperlink xmlns:r="http://schemas.openxmlformats.org/officeDocument/2006/relationships" ref="W295" r:id="rId294"/>
    <hyperlink xmlns:r="http://schemas.openxmlformats.org/officeDocument/2006/relationships" ref="W296" r:id="rId295"/>
    <hyperlink xmlns:r="http://schemas.openxmlformats.org/officeDocument/2006/relationships" ref="W297" r:id="rId296"/>
    <hyperlink xmlns:r="http://schemas.openxmlformats.org/officeDocument/2006/relationships" ref="W298" r:id="rId297"/>
    <hyperlink xmlns:r="http://schemas.openxmlformats.org/officeDocument/2006/relationships" ref="W299" r:id="rId298"/>
    <hyperlink xmlns:r="http://schemas.openxmlformats.org/officeDocument/2006/relationships" ref="W300" r:id="rId299"/>
    <hyperlink xmlns:r="http://schemas.openxmlformats.org/officeDocument/2006/relationships" ref="W301" r:id="rId300"/>
    <hyperlink xmlns:r="http://schemas.openxmlformats.org/officeDocument/2006/relationships" ref="W302" r:id="rId301"/>
    <hyperlink xmlns:r="http://schemas.openxmlformats.org/officeDocument/2006/relationships" ref="W303" r:id="rId302"/>
    <hyperlink xmlns:r="http://schemas.openxmlformats.org/officeDocument/2006/relationships" ref="W304" r:id="rId303"/>
    <hyperlink xmlns:r="http://schemas.openxmlformats.org/officeDocument/2006/relationships" ref="W305" r:id="rId304"/>
    <hyperlink xmlns:r="http://schemas.openxmlformats.org/officeDocument/2006/relationships" ref="W306" r:id="rId305"/>
    <hyperlink xmlns:r="http://schemas.openxmlformats.org/officeDocument/2006/relationships" ref="W307" r:id="rId306"/>
    <hyperlink xmlns:r="http://schemas.openxmlformats.org/officeDocument/2006/relationships" ref="W308" r:id="rId307"/>
    <hyperlink xmlns:r="http://schemas.openxmlformats.org/officeDocument/2006/relationships" ref="W309" r:id="rId308"/>
    <hyperlink xmlns:r="http://schemas.openxmlformats.org/officeDocument/2006/relationships" ref="W310" r:id="rId309"/>
    <hyperlink xmlns:r="http://schemas.openxmlformats.org/officeDocument/2006/relationships" ref="W311" r:id="rId310"/>
    <hyperlink xmlns:r="http://schemas.openxmlformats.org/officeDocument/2006/relationships" ref="W312" r:id="rId311"/>
    <hyperlink xmlns:r="http://schemas.openxmlformats.org/officeDocument/2006/relationships" ref="W313" r:id="rId312"/>
    <hyperlink xmlns:r="http://schemas.openxmlformats.org/officeDocument/2006/relationships" ref="W314" r:id="rId313"/>
    <hyperlink xmlns:r="http://schemas.openxmlformats.org/officeDocument/2006/relationships" ref="W315" r:id="rId314"/>
    <hyperlink xmlns:r="http://schemas.openxmlformats.org/officeDocument/2006/relationships" ref="W316" r:id="rId315"/>
    <hyperlink xmlns:r="http://schemas.openxmlformats.org/officeDocument/2006/relationships" ref="W317" r:id="rId316"/>
    <hyperlink xmlns:r="http://schemas.openxmlformats.org/officeDocument/2006/relationships" ref="W318" r:id="rId317"/>
    <hyperlink xmlns:r="http://schemas.openxmlformats.org/officeDocument/2006/relationships" ref="W319" r:id="rId318"/>
    <hyperlink xmlns:r="http://schemas.openxmlformats.org/officeDocument/2006/relationships" ref="W320" r:id="rId319"/>
    <hyperlink xmlns:r="http://schemas.openxmlformats.org/officeDocument/2006/relationships" ref="W321" r:id="rId320"/>
    <hyperlink xmlns:r="http://schemas.openxmlformats.org/officeDocument/2006/relationships" ref="W322" r:id="rId321"/>
    <hyperlink xmlns:r="http://schemas.openxmlformats.org/officeDocument/2006/relationships" ref="W323" r:id="rId322"/>
    <hyperlink xmlns:r="http://schemas.openxmlformats.org/officeDocument/2006/relationships" ref="W324" r:id="rId323"/>
    <hyperlink xmlns:r="http://schemas.openxmlformats.org/officeDocument/2006/relationships" ref="W325" r:id="rId324"/>
    <hyperlink xmlns:r="http://schemas.openxmlformats.org/officeDocument/2006/relationships" ref="W326" r:id="rId325"/>
    <hyperlink xmlns:r="http://schemas.openxmlformats.org/officeDocument/2006/relationships" ref="W327" r:id="rId326"/>
    <hyperlink xmlns:r="http://schemas.openxmlformats.org/officeDocument/2006/relationships" ref="W328" r:id="rId327"/>
    <hyperlink xmlns:r="http://schemas.openxmlformats.org/officeDocument/2006/relationships" ref="W329" r:id="rId328"/>
    <hyperlink xmlns:r="http://schemas.openxmlformats.org/officeDocument/2006/relationships" ref="W330" r:id="rId329"/>
    <hyperlink xmlns:r="http://schemas.openxmlformats.org/officeDocument/2006/relationships" ref="W331" r:id="rId330"/>
    <hyperlink xmlns:r="http://schemas.openxmlformats.org/officeDocument/2006/relationships" ref="W332" r:id="rId331"/>
    <hyperlink xmlns:r="http://schemas.openxmlformats.org/officeDocument/2006/relationships" ref="W333" r:id="rId332"/>
    <hyperlink xmlns:r="http://schemas.openxmlformats.org/officeDocument/2006/relationships" ref="W334" r:id="rId333"/>
    <hyperlink xmlns:r="http://schemas.openxmlformats.org/officeDocument/2006/relationships" ref="W335" r:id="rId334"/>
    <hyperlink xmlns:r="http://schemas.openxmlformats.org/officeDocument/2006/relationships" ref="W336" r:id="rId335"/>
    <hyperlink xmlns:r="http://schemas.openxmlformats.org/officeDocument/2006/relationships" ref="W337" r:id="rId336"/>
    <hyperlink xmlns:r="http://schemas.openxmlformats.org/officeDocument/2006/relationships" ref="W338" r:id="rId337"/>
    <hyperlink xmlns:r="http://schemas.openxmlformats.org/officeDocument/2006/relationships" ref="W339" r:id="rId338"/>
    <hyperlink xmlns:r="http://schemas.openxmlformats.org/officeDocument/2006/relationships" ref="W340" r:id="rId339"/>
    <hyperlink xmlns:r="http://schemas.openxmlformats.org/officeDocument/2006/relationships" ref="W341" r:id="rId340"/>
    <hyperlink xmlns:r="http://schemas.openxmlformats.org/officeDocument/2006/relationships" ref="W342" r:id="rId341"/>
    <hyperlink xmlns:r="http://schemas.openxmlformats.org/officeDocument/2006/relationships" ref="W343" r:id="rId342"/>
    <hyperlink xmlns:r="http://schemas.openxmlformats.org/officeDocument/2006/relationships" ref="W344" r:id="rId343"/>
    <hyperlink xmlns:r="http://schemas.openxmlformats.org/officeDocument/2006/relationships" ref="W345" r:id="rId344"/>
    <hyperlink xmlns:r="http://schemas.openxmlformats.org/officeDocument/2006/relationships" ref="W346" r:id="rId345"/>
    <hyperlink xmlns:r="http://schemas.openxmlformats.org/officeDocument/2006/relationships" ref="W347" r:id="rId346"/>
    <hyperlink xmlns:r="http://schemas.openxmlformats.org/officeDocument/2006/relationships" ref="W348" r:id="rId347"/>
    <hyperlink xmlns:r="http://schemas.openxmlformats.org/officeDocument/2006/relationships" ref="W349" r:id="rId348"/>
    <hyperlink xmlns:r="http://schemas.openxmlformats.org/officeDocument/2006/relationships" ref="W350" r:id="rId349"/>
    <hyperlink xmlns:r="http://schemas.openxmlformats.org/officeDocument/2006/relationships" ref="W351" r:id="rId350"/>
    <hyperlink xmlns:r="http://schemas.openxmlformats.org/officeDocument/2006/relationships" ref="W352" r:id="rId351"/>
    <hyperlink xmlns:r="http://schemas.openxmlformats.org/officeDocument/2006/relationships" ref="W353" r:id="rId352"/>
    <hyperlink xmlns:r="http://schemas.openxmlformats.org/officeDocument/2006/relationships" ref="W354" r:id="rId353"/>
    <hyperlink xmlns:r="http://schemas.openxmlformats.org/officeDocument/2006/relationships" ref="W355" r:id="rId354"/>
    <hyperlink xmlns:r="http://schemas.openxmlformats.org/officeDocument/2006/relationships" ref="W356" r:id="rId355"/>
    <hyperlink xmlns:r="http://schemas.openxmlformats.org/officeDocument/2006/relationships" ref="W357" r:id="rId356"/>
    <hyperlink xmlns:r="http://schemas.openxmlformats.org/officeDocument/2006/relationships" ref="W358" r:id="rId357"/>
    <hyperlink xmlns:r="http://schemas.openxmlformats.org/officeDocument/2006/relationships" ref="W359" r:id="rId358"/>
    <hyperlink xmlns:r="http://schemas.openxmlformats.org/officeDocument/2006/relationships" ref="W360" r:id="rId359"/>
    <hyperlink xmlns:r="http://schemas.openxmlformats.org/officeDocument/2006/relationships" ref="W361" r:id="rId360"/>
    <hyperlink xmlns:r="http://schemas.openxmlformats.org/officeDocument/2006/relationships" ref="W362" r:id="rId361"/>
    <hyperlink xmlns:r="http://schemas.openxmlformats.org/officeDocument/2006/relationships" ref="W363" r:id="rId362"/>
    <hyperlink xmlns:r="http://schemas.openxmlformats.org/officeDocument/2006/relationships" ref="W364" r:id="rId363"/>
    <hyperlink xmlns:r="http://schemas.openxmlformats.org/officeDocument/2006/relationships" ref="W365" r:id="rId364"/>
    <hyperlink xmlns:r="http://schemas.openxmlformats.org/officeDocument/2006/relationships" ref="W366" r:id="rId365"/>
    <hyperlink xmlns:r="http://schemas.openxmlformats.org/officeDocument/2006/relationships" ref="W367" r:id="rId366"/>
    <hyperlink xmlns:r="http://schemas.openxmlformats.org/officeDocument/2006/relationships" ref="W368" r:id="rId367"/>
    <hyperlink xmlns:r="http://schemas.openxmlformats.org/officeDocument/2006/relationships" ref="W369" r:id="rId368"/>
    <hyperlink xmlns:r="http://schemas.openxmlformats.org/officeDocument/2006/relationships" ref="W370" r:id="rId369"/>
    <hyperlink xmlns:r="http://schemas.openxmlformats.org/officeDocument/2006/relationships" ref="W371" r:id="rId370"/>
    <hyperlink xmlns:r="http://schemas.openxmlformats.org/officeDocument/2006/relationships" ref="W372" r:id="rId371"/>
    <hyperlink xmlns:r="http://schemas.openxmlformats.org/officeDocument/2006/relationships" ref="W373" r:id="rId372"/>
    <hyperlink xmlns:r="http://schemas.openxmlformats.org/officeDocument/2006/relationships" ref="W374" r:id="rId373"/>
    <hyperlink xmlns:r="http://schemas.openxmlformats.org/officeDocument/2006/relationships" ref="W375" r:id="rId374"/>
    <hyperlink xmlns:r="http://schemas.openxmlformats.org/officeDocument/2006/relationships" ref="W376" r:id="rId375"/>
    <hyperlink xmlns:r="http://schemas.openxmlformats.org/officeDocument/2006/relationships" ref="W377" r:id="rId376"/>
    <hyperlink xmlns:r="http://schemas.openxmlformats.org/officeDocument/2006/relationships" ref="W378" r:id="rId377"/>
    <hyperlink xmlns:r="http://schemas.openxmlformats.org/officeDocument/2006/relationships" ref="W379" r:id="rId378"/>
    <hyperlink xmlns:r="http://schemas.openxmlformats.org/officeDocument/2006/relationships" ref="W380" r:id="rId379"/>
    <hyperlink xmlns:r="http://schemas.openxmlformats.org/officeDocument/2006/relationships" ref="W381" r:id="rId380"/>
    <hyperlink xmlns:r="http://schemas.openxmlformats.org/officeDocument/2006/relationships" ref="W382" r:id="rId381"/>
    <hyperlink xmlns:r="http://schemas.openxmlformats.org/officeDocument/2006/relationships" ref="W383" r:id="rId382"/>
    <hyperlink xmlns:r="http://schemas.openxmlformats.org/officeDocument/2006/relationships" ref="W384" r:id="rId383"/>
    <hyperlink xmlns:r="http://schemas.openxmlformats.org/officeDocument/2006/relationships" ref="W385" r:id="rId384"/>
    <hyperlink xmlns:r="http://schemas.openxmlformats.org/officeDocument/2006/relationships" ref="W386" r:id="rId385"/>
    <hyperlink xmlns:r="http://schemas.openxmlformats.org/officeDocument/2006/relationships" ref="W387" r:id="rId386"/>
    <hyperlink xmlns:r="http://schemas.openxmlformats.org/officeDocument/2006/relationships" ref="W388" r:id="rId387"/>
    <hyperlink xmlns:r="http://schemas.openxmlformats.org/officeDocument/2006/relationships" ref="W389" r:id="rId388"/>
    <hyperlink xmlns:r="http://schemas.openxmlformats.org/officeDocument/2006/relationships" ref="W390" r:id="rId389"/>
    <hyperlink xmlns:r="http://schemas.openxmlformats.org/officeDocument/2006/relationships" ref="W391" r:id="rId390"/>
    <hyperlink xmlns:r="http://schemas.openxmlformats.org/officeDocument/2006/relationships" ref="W392" r:id="rId391"/>
    <hyperlink xmlns:r="http://schemas.openxmlformats.org/officeDocument/2006/relationships" ref="W393" r:id="rId392"/>
    <hyperlink xmlns:r="http://schemas.openxmlformats.org/officeDocument/2006/relationships" ref="W394" r:id="rId393"/>
    <hyperlink xmlns:r="http://schemas.openxmlformats.org/officeDocument/2006/relationships" ref="W395" r:id="rId394"/>
    <hyperlink xmlns:r="http://schemas.openxmlformats.org/officeDocument/2006/relationships" ref="W396" r:id="rId395"/>
    <hyperlink xmlns:r="http://schemas.openxmlformats.org/officeDocument/2006/relationships" ref="W397" r:id="rId396"/>
    <hyperlink xmlns:r="http://schemas.openxmlformats.org/officeDocument/2006/relationships" ref="W398" r:id="rId397"/>
    <hyperlink xmlns:r="http://schemas.openxmlformats.org/officeDocument/2006/relationships" ref="W399" r:id="rId398"/>
    <hyperlink xmlns:r="http://schemas.openxmlformats.org/officeDocument/2006/relationships" ref="W400" r:id="rId399"/>
    <hyperlink xmlns:r="http://schemas.openxmlformats.org/officeDocument/2006/relationships" ref="W401" r:id="rId400"/>
    <hyperlink xmlns:r="http://schemas.openxmlformats.org/officeDocument/2006/relationships" ref="W402" r:id="rId401"/>
    <hyperlink xmlns:r="http://schemas.openxmlformats.org/officeDocument/2006/relationships" ref="W403" r:id="rId402"/>
    <hyperlink xmlns:r="http://schemas.openxmlformats.org/officeDocument/2006/relationships" ref="W404" r:id="rId403"/>
    <hyperlink xmlns:r="http://schemas.openxmlformats.org/officeDocument/2006/relationships" ref="W405" r:id="rId404"/>
    <hyperlink xmlns:r="http://schemas.openxmlformats.org/officeDocument/2006/relationships" ref="W406" r:id="rId405"/>
    <hyperlink xmlns:r="http://schemas.openxmlformats.org/officeDocument/2006/relationships" ref="W407" r:id="rId406"/>
    <hyperlink xmlns:r="http://schemas.openxmlformats.org/officeDocument/2006/relationships" ref="W408" r:id="rId407"/>
    <hyperlink xmlns:r="http://schemas.openxmlformats.org/officeDocument/2006/relationships" ref="W409" r:id="rId408"/>
    <hyperlink xmlns:r="http://schemas.openxmlformats.org/officeDocument/2006/relationships" ref="W410" r:id="rId409"/>
    <hyperlink xmlns:r="http://schemas.openxmlformats.org/officeDocument/2006/relationships" ref="W411" r:id="rId410"/>
    <hyperlink xmlns:r="http://schemas.openxmlformats.org/officeDocument/2006/relationships" ref="W412" r:id="rId411"/>
    <hyperlink xmlns:r="http://schemas.openxmlformats.org/officeDocument/2006/relationships" ref="W413" r:id="rId412"/>
    <hyperlink xmlns:r="http://schemas.openxmlformats.org/officeDocument/2006/relationships" ref="W414" r:id="rId413"/>
    <hyperlink xmlns:r="http://schemas.openxmlformats.org/officeDocument/2006/relationships" ref="W415" r:id="rId414"/>
    <hyperlink xmlns:r="http://schemas.openxmlformats.org/officeDocument/2006/relationships" ref="W416" r:id="rId415"/>
    <hyperlink xmlns:r="http://schemas.openxmlformats.org/officeDocument/2006/relationships" ref="W417" r:id="rId416"/>
    <hyperlink xmlns:r="http://schemas.openxmlformats.org/officeDocument/2006/relationships" ref="W418" r:id="rId417"/>
    <hyperlink xmlns:r="http://schemas.openxmlformats.org/officeDocument/2006/relationships" ref="W419" r:id="rId418"/>
    <hyperlink xmlns:r="http://schemas.openxmlformats.org/officeDocument/2006/relationships" ref="W420" r:id="rId419"/>
    <hyperlink xmlns:r="http://schemas.openxmlformats.org/officeDocument/2006/relationships" ref="W421" r:id="rId420"/>
    <hyperlink xmlns:r="http://schemas.openxmlformats.org/officeDocument/2006/relationships" ref="W422" r:id="rId421"/>
    <hyperlink xmlns:r="http://schemas.openxmlformats.org/officeDocument/2006/relationships" ref="W423" r:id="rId422"/>
    <hyperlink xmlns:r="http://schemas.openxmlformats.org/officeDocument/2006/relationships" ref="W424" r:id="rId423"/>
    <hyperlink xmlns:r="http://schemas.openxmlformats.org/officeDocument/2006/relationships" ref="W425" r:id="rId424"/>
    <hyperlink xmlns:r="http://schemas.openxmlformats.org/officeDocument/2006/relationships" ref="W426" r:id="rId425"/>
    <hyperlink xmlns:r="http://schemas.openxmlformats.org/officeDocument/2006/relationships" ref="W427" r:id="rId426"/>
    <hyperlink xmlns:r="http://schemas.openxmlformats.org/officeDocument/2006/relationships" ref="W428" r:id="rId427"/>
    <hyperlink xmlns:r="http://schemas.openxmlformats.org/officeDocument/2006/relationships" ref="W429" r:id="rId428"/>
    <hyperlink xmlns:r="http://schemas.openxmlformats.org/officeDocument/2006/relationships" ref="W430" r:id="rId429"/>
    <hyperlink xmlns:r="http://schemas.openxmlformats.org/officeDocument/2006/relationships" ref="W431" r:id="rId430"/>
    <hyperlink xmlns:r="http://schemas.openxmlformats.org/officeDocument/2006/relationships" ref="W432" r:id="rId431"/>
    <hyperlink xmlns:r="http://schemas.openxmlformats.org/officeDocument/2006/relationships" ref="W433" r:id="rId432"/>
    <hyperlink xmlns:r="http://schemas.openxmlformats.org/officeDocument/2006/relationships" ref="W434" r:id="rId433"/>
    <hyperlink xmlns:r="http://schemas.openxmlformats.org/officeDocument/2006/relationships" ref="W435" r:id="rId434"/>
    <hyperlink xmlns:r="http://schemas.openxmlformats.org/officeDocument/2006/relationships" ref="W436" r:id="rId435"/>
    <hyperlink xmlns:r="http://schemas.openxmlformats.org/officeDocument/2006/relationships" ref="W437" r:id="rId436"/>
    <hyperlink xmlns:r="http://schemas.openxmlformats.org/officeDocument/2006/relationships" ref="W438" r:id="rId437"/>
    <hyperlink xmlns:r="http://schemas.openxmlformats.org/officeDocument/2006/relationships" ref="W439" r:id="rId438"/>
    <hyperlink xmlns:r="http://schemas.openxmlformats.org/officeDocument/2006/relationships" ref="W440" r:id="rId439"/>
    <hyperlink xmlns:r="http://schemas.openxmlformats.org/officeDocument/2006/relationships" ref="W441" r:id="rId440"/>
    <hyperlink xmlns:r="http://schemas.openxmlformats.org/officeDocument/2006/relationships" ref="W442" r:id="rId441"/>
    <hyperlink xmlns:r="http://schemas.openxmlformats.org/officeDocument/2006/relationships" ref="W443" r:id="rId442"/>
    <hyperlink xmlns:r="http://schemas.openxmlformats.org/officeDocument/2006/relationships" ref="W444" r:id="rId443"/>
    <hyperlink xmlns:r="http://schemas.openxmlformats.org/officeDocument/2006/relationships" ref="W445" r:id="rId444"/>
    <hyperlink xmlns:r="http://schemas.openxmlformats.org/officeDocument/2006/relationships" ref="W446" r:id="rId445"/>
    <hyperlink xmlns:r="http://schemas.openxmlformats.org/officeDocument/2006/relationships" ref="W447" r:id="rId446"/>
    <hyperlink xmlns:r="http://schemas.openxmlformats.org/officeDocument/2006/relationships" ref="W448" r:id="rId447"/>
    <hyperlink xmlns:r="http://schemas.openxmlformats.org/officeDocument/2006/relationships" ref="W449" r:id="rId448"/>
    <hyperlink xmlns:r="http://schemas.openxmlformats.org/officeDocument/2006/relationships" ref="W450" r:id="rId449"/>
    <hyperlink xmlns:r="http://schemas.openxmlformats.org/officeDocument/2006/relationships" ref="W451" r:id="rId450"/>
    <hyperlink xmlns:r="http://schemas.openxmlformats.org/officeDocument/2006/relationships" ref="W452" r:id="rId451"/>
    <hyperlink xmlns:r="http://schemas.openxmlformats.org/officeDocument/2006/relationships" ref="W453" r:id="rId452"/>
    <hyperlink xmlns:r="http://schemas.openxmlformats.org/officeDocument/2006/relationships" ref="W454" r:id="rId453"/>
    <hyperlink xmlns:r="http://schemas.openxmlformats.org/officeDocument/2006/relationships" ref="W455" r:id="rId454"/>
    <hyperlink xmlns:r="http://schemas.openxmlformats.org/officeDocument/2006/relationships" ref="W456" r:id="rId455"/>
    <hyperlink xmlns:r="http://schemas.openxmlformats.org/officeDocument/2006/relationships" ref="W457" r:id="rId456"/>
    <hyperlink xmlns:r="http://schemas.openxmlformats.org/officeDocument/2006/relationships" ref="W458" r:id="rId457"/>
    <hyperlink xmlns:r="http://schemas.openxmlformats.org/officeDocument/2006/relationships" ref="W459" r:id="rId458"/>
    <hyperlink xmlns:r="http://schemas.openxmlformats.org/officeDocument/2006/relationships" ref="W460" r:id="rId459"/>
    <hyperlink xmlns:r="http://schemas.openxmlformats.org/officeDocument/2006/relationships" ref="W461" r:id="rId460"/>
    <hyperlink xmlns:r="http://schemas.openxmlformats.org/officeDocument/2006/relationships" ref="W462" r:id="rId461"/>
    <hyperlink xmlns:r="http://schemas.openxmlformats.org/officeDocument/2006/relationships" ref="W463" r:id="rId462"/>
    <hyperlink xmlns:r="http://schemas.openxmlformats.org/officeDocument/2006/relationships" ref="W464" r:id="rId463"/>
    <hyperlink xmlns:r="http://schemas.openxmlformats.org/officeDocument/2006/relationships" ref="W465" r:id="rId464"/>
    <hyperlink xmlns:r="http://schemas.openxmlformats.org/officeDocument/2006/relationships" ref="W466" r:id="rId465"/>
    <hyperlink xmlns:r="http://schemas.openxmlformats.org/officeDocument/2006/relationships" ref="W467" r:id="rId466"/>
    <hyperlink xmlns:r="http://schemas.openxmlformats.org/officeDocument/2006/relationships" ref="W468" r:id="rId467"/>
    <hyperlink xmlns:r="http://schemas.openxmlformats.org/officeDocument/2006/relationships" ref="W469" r:id="rId468"/>
    <hyperlink xmlns:r="http://schemas.openxmlformats.org/officeDocument/2006/relationships" ref="W470" r:id="rId469"/>
    <hyperlink xmlns:r="http://schemas.openxmlformats.org/officeDocument/2006/relationships" ref="W471" r:id="rId470"/>
    <hyperlink xmlns:r="http://schemas.openxmlformats.org/officeDocument/2006/relationships" ref="W472" r:id="rId471"/>
    <hyperlink xmlns:r="http://schemas.openxmlformats.org/officeDocument/2006/relationships" ref="W473" r:id="rId472"/>
    <hyperlink xmlns:r="http://schemas.openxmlformats.org/officeDocument/2006/relationships" ref="W474" r:id="rId473"/>
    <hyperlink xmlns:r="http://schemas.openxmlformats.org/officeDocument/2006/relationships" ref="W475" r:id="rId474"/>
    <hyperlink xmlns:r="http://schemas.openxmlformats.org/officeDocument/2006/relationships" ref="W476" r:id="rId475"/>
    <hyperlink xmlns:r="http://schemas.openxmlformats.org/officeDocument/2006/relationships" ref="W477" r:id="rId476"/>
    <hyperlink xmlns:r="http://schemas.openxmlformats.org/officeDocument/2006/relationships" ref="W478" r:id="rId477"/>
    <hyperlink xmlns:r="http://schemas.openxmlformats.org/officeDocument/2006/relationships" ref="W479" r:id="rId478"/>
    <hyperlink xmlns:r="http://schemas.openxmlformats.org/officeDocument/2006/relationships" ref="W480" r:id="rId479"/>
    <hyperlink xmlns:r="http://schemas.openxmlformats.org/officeDocument/2006/relationships" ref="W481" r:id="rId480"/>
    <hyperlink xmlns:r="http://schemas.openxmlformats.org/officeDocument/2006/relationships" ref="W482" r:id="rId481"/>
    <hyperlink xmlns:r="http://schemas.openxmlformats.org/officeDocument/2006/relationships" ref="W483" r:id="rId482"/>
    <hyperlink xmlns:r="http://schemas.openxmlformats.org/officeDocument/2006/relationships" ref="W484" r:id="rId483"/>
    <hyperlink xmlns:r="http://schemas.openxmlformats.org/officeDocument/2006/relationships" ref="W485" r:id="rId484"/>
    <hyperlink xmlns:r="http://schemas.openxmlformats.org/officeDocument/2006/relationships" ref="W486" r:id="rId485"/>
    <hyperlink xmlns:r="http://schemas.openxmlformats.org/officeDocument/2006/relationships" ref="W487" r:id="rId486"/>
    <hyperlink xmlns:r="http://schemas.openxmlformats.org/officeDocument/2006/relationships" ref="W488" r:id="rId487"/>
    <hyperlink xmlns:r="http://schemas.openxmlformats.org/officeDocument/2006/relationships" ref="W489" r:id="rId488"/>
    <hyperlink xmlns:r="http://schemas.openxmlformats.org/officeDocument/2006/relationships" ref="W490" r:id="rId489"/>
    <hyperlink xmlns:r="http://schemas.openxmlformats.org/officeDocument/2006/relationships" ref="W491" r:id="rId490"/>
    <hyperlink xmlns:r="http://schemas.openxmlformats.org/officeDocument/2006/relationships" ref="W492" r:id="rId491"/>
    <hyperlink xmlns:r="http://schemas.openxmlformats.org/officeDocument/2006/relationships" ref="W493" r:id="rId492"/>
    <hyperlink xmlns:r="http://schemas.openxmlformats.org/officeDocument/2006/relationships" ref="W494" r:id="rId493"/>
    <hyperlink xmlns:r="http://schemas.openxmlformats.org/officeDocument/2006/relationships" ref="W495" r:id="rId494"/>
    <hyperlink xmlns:r="http://schemas.openxmlformats.org/officeDocument/2006/relationships" ref="W496" r:id="rId495"/>
    <hyperlink xmlns:r="http://schemas.openxmlformats.org/officeDocument/2006/relationships" ref="W497" r:id="rId496"/>
    <hyperlink xmlns:r="http://schemas.openxmlformats.org/officeDocument/2006/relationships" ref="W498" r:id="rId497"/>
    <hyperlink xmlns:r="http://schemas.openxmlformats.org/officeDocument/2006/relationships" ref="W499" r:id="rId498"/>
    <hyperlink xmlns:r="http://schemas.openxmlformats.org/officeDocument/2006/relationships" ref="W500" r:id="rId499"/>
    <hyperlink xmlns:r="http://schemas.openxmlformats.org/officeDocument/2006/relationships" ref="W501" r:id="rId500"/>
    <hyperlink xmlns:r="http://schemas.openxmlformats.org/officeDocument/2006/relationships" ref="W502" r:id="rId501"/>
    <hyperlink xmlns:r="http://schemas.openxmlformats.org/officeDocument/2006/relationships" ref="W503" r:id="rId502"/>
    <hyperlink xmlns:r="http://schemas.openxmlformats.org/officeDocument/2006/relationships" ref="W504" r:id="rId503"/>
    <hyperlink xmlns:r="http://schemas.openxmlformats.org/officeDocument/2006/relationships" ref="W505" r:id="rId504"/>
    <hyperlink xmlns:r="http://schemas.openxmlformats.org/officeDocument/2006/relationships" ref="W506" r:id="rId505"/>
    <hyperlink xmlns:r="http://schemas.openxmlformats.org/officeDocument/2006/relationships" ref="W507" r:id="rId506"/>
    <hyperlink xmlns:r="http://schemas.openxmlformats.org/officeDocument/2006/relationships" ref="W508" r:id="rId507"/>
    <hyperlink xmlns:r="http://schemas.openxmlformats.org/officeDocument/2006/relationships" ref="W509" r:id="rId508"/>
    <hyperlink xmlns:r="http://schemas.openxmlformats.org/officeDocument/2006/relationships" ref="W510" r:id="rId509"/>
    <hyperlink xmlns:r="http://schemas.openxmlformats.org/officeDocument/2006/relationships" ref="W511" r:id="rId510"/>
    <hyperlink xmlns:r="http://schemas.openxmlformats.org/officeDocument/2006/relationships" ref="W512" r:id="rId511"/>
    <hyperlink xmlns:r="http://schemas.openxmlformats.org/officeDocument/2006/relationships" ref="W513" r:id="rId512"/>
    <hyperlink xmlns:r="http://schemas.openxmlformats.org/officeDocument/2006/relationships" ref="W514" r:id="rId513"/>
    <hyperlink xmlns:r="http://schemas.openxmlformats.org/officeDocument/2006/relationships" ref="W515" r:id="rId514"/>
    <hyperlink xmlns:r="http://schemas.openxmlformats.org/officeDocument/2006/relationships" ref="W516" r:id="rId515"/>
    <hyperlink xmlns:r="http://schemas.openxmlformats.org/officeDocument/2006/relationships" ref="W517" r:id="rId516"/>
    <hyperlink xmlns:r="http://schemas.openxmlformats.org/officeDocument/2006/relationships" ref="W518" r:id="rId517"/>
    <hyperlink xmlns:r="http://schemas.openxmlformats.org/officeDocument/2006/relationships" ref="W519" r:id="rId518"/>
    <hyperlink xmlns:r="http://schemas.openxmlformats.org/officeDocument/2006/relationships" ref="W520" r:id="rId519"/>
    <hyperlink xmlns:r="http://schemas.openxmlformats.org/officeDocument/2006/relationships" ref="W521" r:id="rId520"/>
    <hyperlink xmlns:r="http://schemas.openxmlformats.org/officeDocument/2006/relationships" ref="W522" r:id="rId521"/>
    <hyperlink xmlns:r="http://schemas.openxmlformats.org/officeDocument/2006/relationships" ref="W523" r:id="rId522"/>
    <hyperlink xmlns:r="http://schemas.openxmlformats.org/officeDocument/2006/relationships" ref="W524" r:id="rId523"/>
    <hyperlink xmlns:r="http://schemas.openxmlformats.org/officeDocument/2006/relationships" ref="W525" r:id="rId524"/>
    <hyperlink xmlns:r="http://schemas.openxmlformats.org/officeDocument/2006/relationships" ref="W526" r:id="rId525"/>
    <hyperlink xmlns:r="http://schemas.openxmlformats.org/officeDocument/2006/relationships" ref="W527" r:id="rId526"/>
    <hyperlink xmlns:r="http://schemas.openxmlformats.org/officeDocument/2006/relationships" ref="W528" r:id="rId527"/>
    <hyperlink xmlns:r="http://schemas.openxmlformats.org/officeDocument/2006/relationships" ref="W529" r:id="rId528"/>
    <hyperlink xmlns:r="http://schemas.openxmlformats.org/officeDocument/2006/relationships" ref="W530" r:id="rId529"/>
    <hyperlink xmlns:r="http://schemas.openxmlformats.org/officeDocument/2006/relationships" ref="W531" r:id="rId530"/>
    <hyperlink xmlns:r="http://schemas.openxmlformats.org/officeDocument/2006/relationships" ref="W532" r:id="rId531"/>
    <hyperlink xmlns:r="http://schemas.openxmlformats.org/officeDocument/2006/relationships" ref="W533" r:id="rId532"/>
    <hyperlink xmlns:r="http://schemas.openxmlformats.org/officeDocument/2006/relationships" ref="W534" r:id="rId533"/>
    <hyperlink xmlns:r="http://schemas.openxmlformats.org/officeDocument/2006/relationships" ref="W535" r:id="rId534"/>
    <hyperlink xmlns:r="http://schemas.openxmlformats.org/officeDocument/2006/relationships" ref="W536" r:id="rId535"/>
    <hyperlink xmlns:r="http://schemas.openxmlformats.org/officeDocument/2006/relationships" ref="W537" r:id="rId536"/>
    <hyperlink xmlns:r="http://schemas.openxmlformats.org/officeDocument/2006/relationships" ref="W538" r:id="rId537"/>
    <hyperlink xmlns:r="http://schemas.openxmlformats.org/officeDocument/2006/relationships" ref="W539" r:id="rId538"/>
    <hyperlink xmlns:r="http://schemas.openxmlformats.org/officeDocument/2006/relationships" ref="W540" r:id="rId539"/>
    <hyperlink xmlns:r="http://schemas.openxmlformats.org/officeDocument/2006/relationships" ref="W541" r:id="rId540"/>
    <hyperlink xmlns:r="http://schemas.openxmlformats.org/officeDocument/2006/relationships" ref="W542" r:id="rId541"/>
    <hyperlink xmlns:r="http://schemas.openxmlformats.org/officeDocument/2006/relationships" ref="W543" r:id="rId542"/>
    <hyperlink xmlns:r="http://schemas.openxmlformats.org/officeDocument/2006/relationships" ref="W544" r:id="rId543"/>
    <hyperlink xmlns:r="http://schemas.openxmlformats.org/officeDocument/2006/relationships" ref="W545" r:id="rId544"/>
    <hyperlink xmlns:r="http://schemas.openxmlformats.org/officeDocument/2006/relationships" ref="W546" r:id="rId545"/>
    <hyperlink xmlns:r="http://schemas.openxmlformats.org/officeDocument/2006/relationships" ref="W547" r:id="rId546"/>
    <hyperlink xmlns:r="http://schemas.openxmlformats.org/officeDocument/2006/relationships" ref="W548" r:id="rId547"/>
    <hyperlink xmlns:r="http://schemas.openxmlformats.org/officeDocument/2006/relationships" ref="W549" r:id="rId548"/>
    <hyperlink xmlns:r="http://schemas.openxmlformats.org/officeDocument/2006/relationships" ref="W550" r:id="rId549"/>
    <hyperlink xmlns:r="http://schemas.openxmlformats.org/officeDocument/2006/relationships" ref="W551" r:id="rId550"/>
    <hyperlink xmlns:r="http://schemas.openxmlformats.org/officeDocument/2006/relationships" ref="W552" r:id="rId551"/>
    <hyperlink xmlns:r="http://schemas.openxmlformats.org/officeDocument/2006/relationships" ref="W553" r:id="rId552"/>
    <hyperlink xmlns:r="http://schemas.openxmlformats.org/officeDocument/2006/relationships" ref="W554" r:id="rId553"/>
    <hyperlink xmlns:r="http://schemas.openxmlformats.org/officeDocument/2006/relationships" ref="W555" r:id="rId554"/>
    <hyperlink xmlns:r="http://schemas.openxmlformats.org/officeDocument/2006/relationships" ref="W556" r:id="rId555"/>
    <hyperlink xmlns:r="http://schemas.openxmlformats.org/officeDocument/2006/relationships" ref="W557" r:id="rId556"/>
    <hyperlink xmlns:r="http://schemas.openxmlformats.org/officeDocument/2006/relationships" ref="W558" r:id="rId557"/>
    <hyperlink xmlns:r="http://schemas.openxmlformats.org/officeDocument/2006/relationships" ref="W559" r:id="rId558"/>
    <hyperlink xmlns:r="http://schemas.openxmlformats.org/officeDocument/2006/relationships" ref="W560" r:id="rId559"/>
    <hyperlink xmlns:r="http://schemas.openxmlformats.org/officeDocument/2006/relationships" ref="W561" r:id="rId560"/>
    <hyperlink xmlns:r="http://schemas.openxmlformats.org/officeDocument/2006/relationships" ref="W562" r:id="rId561"/>
    <hyperlink xmlns:r="http://schemas.openxmlformats.org/officeDocument/2006/relationships" ref="W563" r:id="rId562"/>
    <hyperlink xmlns:r="http://schemas.openxmlformats.org/officeDocument/2006/relationships" ref="W564" r:id="rId563"/>
    <hyperlink xmlns:r="http://schemas.openxmlformats.org/officeDocument/2006/relationships" ref="W565" r:id="rId564"/>
    <hyperlink xmlns:r="http://schemas.openxmlformats.org/officeDocument/2006/relationships" ref="W566" r:id="rId565"/>
    <hyperlink xmlns:r="http://schemas.openxmlformats.org/officeDocument/2006/relationships" ref="W567" r:id="rId566"/>
    <hyperlink xmlns:r="http://schemas.openxmlformats.org/officeDocument/2006/relationships" ref="W568" r:id="rId567"/>
    <hyperlink xmlns:r="http://schemas.openxmlformats.org/officeDocument/2006/relationships" ref="W569" r:id="rId568"/>
    <hyperlink xmlns:r="http://schemas.openxmlformats.org/officeDocument/2006/relationships" ref="W570" r:id="rId569"/>
    <hyperlink xmlns:r="http://schemas.openxmlformats.org/officeDocument/2006/relationships" ref="W571" r:id="rId570"/>
    <hyperlink xmlns:r="http://schemas.openxmlformats.org/officeDocument/2006/relationships" ref="W572" r:id="rId571"/>
    <hyperlink xmlns:r="http://schemas.openxmlformats.org/officeDocument/2006/relationships" ref="W573" r:id="rId572"/>
    <hyperlink xmlns:r="http://schemas.openxmlformats.org/officeDocument/2006/relationships" ref="W574" r:id="rId573"/>
    <hyperlink xmlns:r="http://schemas.openxmlformats.org/officeDocument/2006/relationships" ref="W575" r:id="rId574"/>
    <hyperlink xmlns:r="http://schemas.openxmlformats.org/officeDocument/2006/relationships" ref="W576" r:id="rId575"/>
    <hyperlink xmlns:r="http://schemas.openxmlformats.org/officeDocument/2006/relationships" ref="W577" r:id="rId576"/>
    <hyperlink xmlns:r="http://schemas.openxmlformats.org/officeDocument/2006/relationships" ref="W578" r:id="rId577"/>
    <hyperlink xmlns:r="http://schemas.openxmlformats.org/officeDocument/2006/relationships" ref="W579" r:id="rId578"/>
    <hyperlink xmlns:r="http://schemas.openxmlformats.org/officeDocument/2006/relationships" ref="W580" r:id="rId579"/>
    <hyperlink xmlns:r="http://schemas.openxmlformats.org/officeDocument/2006/relationships" ref="W581" r:id="rId580"/>
    <hyperlink xmlns:r="http://schemas.openxmlformats.org/officeDocument/2006/relationships" ref="W582" r:id="rId581"/>
    <hyperlink xmlns:r="http://schemas.openxmlformats.org/officeDocument/2006/relationships" ref="W583" r:id="rId582"/>
    <hyperlink xmlns:r="http://schemas.openxmlformats.org/officeDocument/2006/relationships" ref="W584" r:id="rId583"/>
    <hyperlink xmlns:r="http://schemas.openxmlformats.org/officeDocument/2006/relationships" ref="W585" r:id="rId584"/>
    <hyperlink xmlns:r="http://schemas.openxmlformats.org/officeDocument/2006/relationships" ref="W586" r:id="rId585"/>
    <hyperlink xmlns:r="http://schemas.openxmlformats.org/officeDocument/2006/relationships" ref="W587" r:id="rId586"/>
    <hyperlink xmlns:r="http://schemas.openxmlformats.org/officeDocument/2006/relationships" ref="W588" r:id="rId587"/>
    <hyperlink xmlns:r="http://schemas.openxmlformats.org/officeDocument/2006/relationships" ref="W589" r:id="rId588"/>
    <hyperlink xmlns:r="http://schemas.openxmlformats.org/officeDocument/2006/relationships" ref="W590" r:id="rId589"/>
    <hyperlink xmlns:r="http://schemas.openxmlformats.org/officeDocument/2006/relationships" ref="W591" r:id="rId590"/>
    <hyperlink xmlns:r="http://schemas.openxmlformats.org/officeDocument/2006/relationships" ref="W592" r:id="rId591"/>
    <hyperlink xmlns:r="http://schemas.openxmlformats.org/officeDocument/2006/relationships" ref="W593" r:id="rId592"/>
    <hyperlink xmlns:r="http://schemas.openxmlformats.org/officeDocument/2006/relationships" ref="W594" r:id="rId593"/>
    <hyperlink xmlns:r="http://schemas.openxmlformats.org/officeDocument/2006/relationships" ref="W595" r:id="rId594"/>
    <hyperlink xmlns:r="http://schemas.openxmlformats.org/officeDocument/2006/relationships" ref="W596" r:id="rId595"/>
    <hyperlink xmlns:r="http://schemas.openxmlformats.org/officeDocument/2006/relationships" ref="W597" r:id="rId596"/>
    <hyperlink xmlns:r="http://schemas.openxmlformats.org/officeDocument/2006/relationships" ref="W598" r:id="rId597"/>
    <hyperlink xmlns:r="http://schemas.openxmlformats.org/officeDocument/2006/relationships" ref="W599" r:id="rId598"/>
    <hyperlink xmlns:r="http://schemas.openxmlformats.org/officeDocument/2006/relationships" ref="W600" r:id="rId599"/>
    <hyperlink xmlns:r="http://schemas.openxmlformats.org/officeDocument/2006/relationships" ref="W601" r:id="rId600"/>
    <hyperlink xmlns:r="http://schemas.openxmlformats.org/officeDocument/2006/relationships" ref="W602" r:id="rId601"/>
    <hyperlink xmlns:r="http://schemas.openxmlformats.org/officeDocument/2006/relationships" ref="W603" r:id="rId602"/>
    <hyperlink xmlns:r="http://schemas.openxmlformats.org/officeDocument/2006/relationships" ref="W604" r:id="rId603"/>
    <hyperlink xmlns:r="http://schemas.openxmlformats.org/officeDocument/2006/relationships" ref="W605" r:id="rId604"/>
    <hyperlink xmlns:r="http://schemas.openxmlformats.org/officeDocument/2006/relationships" ref="W606" r:id="rId605"/>
    <hyperlink xmlns:r="http://schemas.openxmlformats.org/officeDocument/2006/relationships" ref="W607" r:id="rId606"/>
    <hyperlink xmlns:r="http://schemas.openxmlformats.org/officeDocument/2006/relationships" ref="W608" r:id="rId607"/>
    <hyperlink xmlns:r="http://schemas.openxmlformats.org/officeDocument/2006/relationships" ref="W609" r:id="rId608"/>
    <hyperlink xmlns:r="http://schemas.openxmlformats.org/officeDocument/2006/relationships" ref="W610" r:id="rId609"/>
    <hyperlink xmlns:r="http://schemas.openxmlformats.org/officeDocument/2006/relationships" ref="W611" r:id="rId610"/>
    <hyperlink xmlns:r="http://schemas.openxmlformats.org/officeDocument/2006/relationships" ref="W612" r:id="rId611"/>
    <hyperlink xmlns:r="http://schemas.openxmlformats.org/officeDocument/2006/relationships" ref="W613" r:id="rId612"/>
    <hyperlink xmlns:r="http://schemas.openxmlformats.org/officeDocument/2006/relationships" ref="W614" r:id="rId613"/>
    <hyperlink xmlns:r="http://schemas.openxmlformats.org/officeDocument/2006/relationships" ref="W615" r:id="rId614"/>
    <hyperlink xmlns:r="http://schemas.openxmlformats.org/officeDocument/2006/relationships" ref="W616" r:id="rId615"/>
    <hyperlink xmlns:r="http://schemas.openxmlformats.org/officeDocument/2006/relationships" ref="W617" r:id="rId616"/>
    <hyperlink xmlns:r="http://schemas.openxmlformats.org/officeDocument/2006/relationships" ref="W618" r:id="rId617"/>
    <hyperlink xmlns:r="http://schemas.openxmlformats.org/officeDocument/2006/relationships" ref="W619" r:id="rId618"/>
    <hyperlink xmlns:r="http://schemas.openxmlformats.org/officeDocument/2006/relationships" ref="W620" r:id="rId619"/>
    <hyperlink xmlns:r="http://schemas.openxmlformats.org/officeDocument/2006/relationships" ref="W621" r:id="rId620"/>
    <hyperlink xmlns:r="http://schemas.openxmlformats.org/officeDocument/2006/relationships" ref="W622" r:id="rId621"/>
    <hyperlink xmlns:r="http://schemas.openxmlformats.org/officeDocument/2006/relationships" ref="W623" r:id="rId622"/>
    <hyperlink xmlns:r="http://schemas.openxmlformats.org/officeDocument/2006/relationships" ref="W624" r:id="rId623"/>
    <hyperlink xmlns:r="http://schemas.openxmlformats.org/officeDocument/2006/relationships" ref="W625" r:id="rId624"/>
    <hyperlink xmlns:r="http://schemas.openxmlformats.org/officeDocument/2006/relationships" ref="W626" r:id="rId625"/>
    <hyperlink xmlns:r="http://schemas.openxmlformats.org/officeDocument/2006/relationships" ref="W627" r:id="rId626"/>
    <hyperlink xmlns:r="http://schemas.openxmlformats.org/officeDocument/2006/relationships" ref="W628" r:id="rId627"/>
    <hyperlink xmlns:r="http://schemas.openxmlformats.org/officeDocument/2006/relationships" ref="W629" r:id="rId628"/>
    <hyperlink xmlns:r="http://schemas.openxmlformats.org/officeDocument/2006/relationships" ref="W630" r:id="rId629"/>
    <hyperlink xmlns:r="http://schemas.openxmlformats.org/officeDocument/2006/relationships" ref="W631" r:id="rId630"/>
    <hyperlink xmlns:r="http://schemas.openxmlformats.org/officeDocument/2006/relationships" ref="W632" r:id="rId631"/>
    <hyperlink xmlns:r="http://schemas.openxmlformats.org/officeDocument/2006/relationships" ref="W633" r:id="rId632"/>
    <hyperlink xmlns:r="http://schemas.openxmlformats.org/officeDocument/2006/relationships" ref="W634" r:id="rId633"/>
    <hyperlink xmlns:r="http://schemas.openxmlformats.org/officeDocument/2006/relationships" ref="W635" r:id="rId634"/>
    <hyperlink xmlns:r="http://schemas.openxmlformats.org/officeDocument/2006/relationships" ref="W636" r:id="rId635"/>
    <hyperlink xmlns:r="http://schemas.openxmlformats.org/officeDocument/2006/relationships" ref="W637" r:id="rId636"/>
    <hyperlink xmlns:r="http://schemas.openxmlformats.org/officeDocument/2006/relationships" ref="W638" r:id="rId637"/>
    <hyperlink xmlns:r="http://schemas.openxmlformats.org/officeDocument/2006/relationships" ref="W639" r:id="rId638"/>
    <hyperlink xmlns:r="http://schemas.openxmlformats.org/officeDocument/2006/relationships" ref="W640" r:id="rId639"/>
    <hyperlink xmlns:r="http://schemas.openxmlformats.org/officeDocument/2006/relationships" ref="W641" r:id="rId640"/>
    <hyperlink xmlns:r="http://schemas.openxmlformats.org/officeDocument/2006/relationships" ref="W642" r:id="rId641"/>
    <hyperlink xmlns:r="http://schemas.openxmlformats.org/officeDocument/2006/relationships" ref="W643" r:id="rId642"/>
    <hyperlink xmlns:r="http://schemas.openxmlformats.org/officeDocument/2006/relationships" ref="W644" r:id="rId643"/>
    <hyperlink xmlns:r="http://schemas.openxmlformats.org/officeDocument/2006/relationships" ref="W645" r:id="rId644"/>
    <hyperlink xmlns:r="http://schemas.openxmlformats.org/officeDocument/2006/relationships" ref="W646" r:id="rId645"/>
    <hyperlink xmlns:r="http://schemas.openxmlformats.org/officeDocument/2006/relationships" ref="W647" r:id="rId646"/>
    <hyperlink xmlns:r="http://schemas.openxmlformats.org/officeDocument/2006/relationships" ref="W648" r:id="rId647"/>
    <hyperlink xmlns:r="http://schemas.openxmlformats.org/officeDocument/2006/relationships" ref="W649" r:id="rId648"/>
    <hyperlink xmlns:r="http://schemas.openxmlformats.org/officeDocument/2006/relationships" ref="W650" r:id="rId649"/>
    <hyperlink xmlns:r="http://schemas.openxmlformats.org/officeDocument/2006/relationships" ref="W651" r:id="rId650"/>
    <hyperlink xmlns:r="http://schemas.openxmlformats.org/officeDocument/2006/relationships" ref="W652" r:id="rId651"/>
    <hyperlink xmlns:r="http://schemas.openxmlformats.org/officeDocument/2006/relationships" ref="W653" r:id="rId652"/>
    <hyperlink xmlns:r="http://schemas.openxmlformats.org/officeDocument/2006/relationships" ref="W654" r:id="rId653"/>
    <hyperlink xmlns:r="http://schemas.openxmlformats.org/officeDocument/2006/relationships" ref="W655" r:id="rId654"/>
    <hyperlink xmlns:r="http://schemas.openxmlformats.org/officeDocument/2006/relationships" ref="W656" r:id="rId655"/>
    <hyperlink xmlns:r="http://schemas.openxmlformats.org/officeDocument/2006/relationships" ref="W657" r:id="rId656"/>
    <hyperlink xmlns:r="http://schemas.openxmlformats.org/officeDocument/2006/relationships" ref="W658" r:id="rId657"/>
    <hyperlink xmlns:r="http://schemas.openxmlformats.org/officeDocument/2006/relationships" ref="W659" r:id="rId658"/>
    <hyperlink xmlns:r="http://schemas.openxmlformats.org/officeDocument/2006/relationships" ref="W660" r:id="rId659"/>
    <hyperlink xmlns:r="http://schemas.openxmlformats.org/officeDocument/2006/relationships" ref="W661" r:id="rId660"/>
    <hyperlink xmlns:r="http://schemas.openxmlformats.org/officeDocument/2006/relationships" ref="W662" r:id="rId661"/>
    <hyperlink xmlns:r="http://schemas.openxmlformats.org/officeDocument/2006/relationships" ref="W663" r:id="rId662"/>
    <hyperlink xmlns:r="http://schemas.openxmlformats.org/officeDocument/2006/relationships" ref="W664" r:id="rId663"/>
    <hyperlink xmlns:r="http://schemas.openxmlformats.org/officeDocument/2006/relationships" ref="W665" r:id="rId664"/>
    <hyperlink xmlns:r="http://schemas.openxmlformats.org/officeDocument/2006/relationships" ref="W666" r:id="rId665"/>
    <hyperlink xmlns:r="http://schemas.openxmlformats.org/officeDocument/2006/relationships" ref="W667" r:id="rId666"/>
    <hyperlink xmlns:r="http://schemas.openxmlformats.org/officeDocument/2006/relationships" ref="W668" r:id="rId667"/>
    <hyperlink xmlns:r="http://schemas.openxmlformats.org/officeDocument/2006/relationships" ref="W669" r:id="rId668"/>
    <hyperlink xmlns:r="http://schemas.openxmlformats.org/officeDocument/2006/relationships" ref="W670" r:id="rId669"/>
    <hyperlink xmlns:r="http://schemas.openxmlformats.org/officeDocument/2006/relationships" ref="W671" r:id="rId670"/>
    <hyperlink xmlns:r="http://schemas.openxmlformats.org/officeDocument/2006/relationships" ref="W672" r:id="rId671"/>
    <hyperlink xmlns:r="http://schemas.openxmlformats.org/officeDocument/2006/relationships" ref="W673" r:id="rId672"/>
    <hyperlink xmlns:r="http://schemas.openxmlformats.org/officeDocument/2006/relationships" ref="W674" r:id="rId673"/>
    <hyperlink xmlns:r="http://schemas.openxmlformats.org/officeDocument/2006/relationships" ref="W675" r:id="rId674"/>
    <hyperlink xmlns:r="http://schemas.openxmlformats.org/officeDocument/2006/relationships" ref="W676" r:id="rId675"/>
    <hyperlink xmlns:r="http://schemas.openxmlformats.org/officeDocument/2006/relationships" ref="W677" r:id="rId676"/>
    <hyperlink xmlns:r="http://schemas.openxmlformats.org/officeDocument/2006/relationships" ref="W678" r:id="rId677"/>
    <hyperlink xmlns:r="http://schemas.openxmlformats.org/officeDocument/2006/relationships" ref="W679" r:id="rId678"/>
    <hyperlink xmlns:r="http://schemas.openxmlformats.org/officeDocument/2006/relationships" ref="W680" r:id="rId679"/>
    <hyperlink xmlns:r="http://schemas.openxmlformats.org/officeDocument/2006/relationships" ref="W681" r:id="rId680"/>
    <hyperlink xmlns:r="http://schemas.openxmlformats.org/officeDocument/2006/relationships" ref="W682" r:id="rId681"/>
    <hyperlink xmlns:r="http://schemas.openxmlformats.org/officeDocument/2006/relationships" ref="W683" r:id="rId682"/>
    <hyperlink xmlns:r="http://schemas.openxmlformats.org/officeDocument/2006/relationships" ref="W684" r:id="rId683"/>
    <hyperlink xmlns:r="http://schemas.openxmlformats.org/officeDocument/2006/relationships" ref="W685" r:id="rId684"/>
    <hyperlink xmlns:r="http://schemas.openxmlformats.org/officeDocument/2006/relationships" ref="W686" r:id="rId685"/>
    <hyperlink xmlns:r="http://schemas.openxmlformats.org/officeDocument/2006/relationships" ref="W687" r:id="rId686"/>
    <hyperlink xmlns:r="http://schemas.openxmlformats.org/officeDocument/2006/relationships" ref="W688" r:id="rId687"/>
    <hyperlink xmlns:r="http://schemas.openxmlformats.org/officeDocument/2006/relationships" ref="W689" r:id="rId688"/>
    <hyperlink xmlns:r="http://schemas.openxmlformats.org/officeDocument/2006/relationships" ref="W690" r:id="rId689"/>
    <hyperlink xmlns:r="http://schemas.openxmlformats.org/officeDocument/2006/relationships" ref="W691" r:id="rId690"/>
    <hyperlink xmlns:r="http://schemas.openxmlformats.org/officeDocument/2006/relationships" ref="W692" r:id="rId691"/>
    <hyperlink xmlns:r="http://schemas.openxmlformats.org/officeDocument/2006/relationships" ref="W693" r:id="rId692"/>
    <hyperlink xmlns:r="http://schemas.openxmlformats.org/officeDocument/2006/relationships" ref="W694" r:id="rId693"/>
    <hyperlink xmlns:r="http://schemas.openxmlformats.org/officeDocument/2006/relationships" ref="W695" r:id="rId694"/>
    <hyperlink xmlns:r="http://schemas.openxmlformats.org/officeDocument/2006/relationships" ref="W696" r:id="rId695"/>
    <hyperlink xmlns:r="http://schemas.openxmlformats.org/officeDocument/2006/relationships" ref="W697" r:id="rId696"/>
    <hyperlink xmlns:r="http://schemas.openxmlformats.org/officeDocument/2006/relationships" ref="W698" r:id="rId697"/>
    <hyperlink xmlns:r="http://schemas.openxmlformats.org/officeDocument/2006/relationships" ref="W699" r:id="rId698"/>
    <hyperlink xmlns:r="http://schemas.openxmlformats.org/officeDocument/2006/relationships" ref="W700" r:id="rId699"/>
    <hyperlink xmlns:r="http://schemas.openxmlformats.org/officeDocument/2006/relationships" ref="W701" r:id="rId700"/>
    <hyperlink xmlns:r="http://schemas.openxmlformats.org/officeDocument/2006/relationships" ref="W702" r:id="rId701"/>
    <hyperlink xmlns:r="http://schemas.openxmlformats.org/officeDocument/2006/relationships" ref="W703" r:id="rId702"/>
    <hyperlink xmlns:r="http://schemas.openxmlformats.org/officeDocument/2006/relationships" ref="W704" r:id="rId703"/>
    <hyperlink xmlns:r="http://schemas.openxmlformats.org/officeDocument/2006/relationships" ref="W705" r:id="rId704"/>
    <hyperlink xmlns:r="http://schemas.openxmlformats.org/officeDocument/2006/relationships" ref="W706" r:id="rId705"/>
    <hyperlink xmlns:r="http://schemas.openxmlformats.org/officeDocument/2006/relationships" ref="W707" r:id="rId706"/>
    <hyperlink xmlns:r="http://schemas.openxmlformats.org/officeDocument/2006/relationships" ref="W708" r:id="rId707"/>
    <hyperlink xmlns:r="http://schemas.openxmlformats.org/officeDocument/2006/relationships" ref="W709" r:id="rId708"/>
    <hyperlink xmlns:r="http://schemas.openxmlformats.org/officeDocument/2006/relationships" ref="W710" r:id="rId709"/>
    <hyperlink xmlns:r="http://schemas.openxmlformats.org/officeDocument/2006/relationships" ref="W711" r:id="rId710"/>
    <hyperlink xmlns:r="http://schemas.openxmlformats.org/officeDocument/2006/relationships" ref="W712" r:id="rId711"/>
    <hyperlink xmlns:r="http://schemas.openxmlformats.org/officeDocument/2006/relationships" ref="W713" r:id="rId712"/>
    <hyperlink xmlns:r="http://schemas.openxmlformats.org/officeDocument/2006/relationships" ref="W714" r:id="rId713"/>
    <hyperlink xmlns:r="http://schemas.openxmlformats.org/officeDocument/2006/relationships" ref="W715" r:id="rId714"/>
    <hyperlink xmlns:r="http://schemas.openxmlformats.org/officeDocument/2006/relationships" ref="W716" r:id="rId715"/>
    <hyperlink xmlns:r="http://schemas.openxmlformats.org/officeDocument/2006/relationships" ref="W717" r:id="rId716"/>
    <hyperlink xmlns:r="http://schemas.openxmlformats.org/officeDocument/2006/relationships" ref="W718" r:id="rId717"/>
    <hyperlink xmlns:r="http://schemas.openxmlformats.org/officeDocument/2006/relationships" ref="W719" r:id="rId718"/>
    <hyperlink xmlns:r="http://schemas.openxmlformats.org/officeDocument/2006/relationships" ref="W720" r:id="rId719"/>
    <hyperlink xmlns:r="http://schemas.openxmlformats.org/officeDocument/2006/relationships" ref="W721" r:id="rId720"/>
    <hyperlink xmlns:r="http://schemas.openxmlformats.org/officeDocument/2006/relationships" ref="W722" r:id="rId721"/>
    <hyperlink xmlns:r="http://schemas.openxmlformats.org/officeDocument/2006/relationships" ref="W723" r:id="rId722"/>
    <hyperlink xmlns:r="http://schemas.openxmlformats.org/officeDocument/2006/relationships" ref="W724" r:id="rId723"/>
    <hyperlink xmlns:r="http://schemas.openxmlformats.org/officeDocument/2006/relationships" ref="W725" r:id="rId724"/>
    <hyperlink xmlns:r="http://schemas.openxmlformats.org/officeDocument/2006/relationships" ref="W726" r:id="rId725"/>
    <hyperlink xmlns:r="http://schemas.openxmlformats.org/officeDocument/2006/relationships" ref="W727" r:id="rId726"/>
    <hyperlink xmlns:r="http://schemas.openxmlformats.org/officeDocument/2006/relationships" ref="W728" r:id="rId727"/>
    <hyperlink xmlns:r="http://schemas.openxmlformats.org/officeDocument/2006/relationships" ref="W729" r:id="rId728"/>
    <hyperlink xmlns:r="http://schemas.openxmlformats.org/officeDocument/2006/relationships" ref="W730" r:id="rId729"/>
    <hyperlink xmlns:r="http://schemas.openxmlformats.org/officeDocument/2006/relationships" ref="W731" r:id="rId730"/>
    <hyperlink xmlns:r="http://schemas.openxmlformats.org/officeDocument/2006/relationships" ref="W732" r:id="rId731"/>
    <hyperlink xmlns:r="http://schemas.openxmlformats.org/officeDocument/2006/relationships" ref="W733" r:id="rId732"/>
    <hyperlink xmlns:r="http://schemas.openxmlformats.org/officeDocument/2006/relationships" ref="W734" r:id="rId733"/>
    <hyperlink xmlns:r="http://schemas.openxmlformats.org/officeDocument/2006/relationships" ref="W735" r:id="rId734"/>
    <hyperlink xmlns:r="http://schemas.openxmlformats.org/officeDocument/2006/relationships" ref="W736" r:id="rId735"/>
    <hyperlink xmlns:r="http://schemas.openxmlformats.org/officeDocument/2006/relationships" ref="W737" r:id="rId736"/>
    <hyperlink xmlns:r="http://schemas.openxmlformats.org/officeDocument/2006/relationships" ref="W738" r:id="rId737"/>
    <hyperlink xmlns:r="http://schemas.openxmlformats.org/officeDocument/2006/relationships" ref="W739" r:id="rId738"/>
    <hyperlink xmlns:r="http://schemas.openxmlformats.org/officeDocument/2006/relationships" ref="W740" r:id="rId739"/>
    <hyperlink xmlns:r="http://schemas.openxmlformats.org/officeDocument/2006/relationships" ref="W741" r:id="rId740"/>
    <hyperlink xmlns:r="http://schemas.openxmlformats.org/officeDocument/2006/relationships" ref="W742" r:id="rId741"/>
    <hyperlink xmlns:r="http://schemas.openxmlformats.org/officeDocument/2006/relationships" ref="W743" r:id="rId742"/>
    <hyperlink xmlns:r="http://schemas.openxmlformats.org/officeDocument/2006/relationships" ref="W744" r:id="rId743"/>
    <hyperlink xmlns:r="http://schemas.openxmlformats.org/officeDocument/2006/relationships" ref="W745" r:id="rId744"/>
    <hyperlink xmlns:r="http://schemas.openxmlformats.org/officeDocument/2006/relationships" ref="W746" r:id="rId745"/>
    <hyperlink xmlns:r="http://schemas.openxmlformats.org/officeDocument/2006/relationships" ref="W747" r:id="rId746"/>
    <hyperlink xmlns:r="http://schemas.openxmlformats.org/officeDocument/2006/relationships" ref="W748" r:id="rId747"/>
    <hyperlink xmlns:r="http://schemas.openxmlformats.org/officeDocument/2006/relationships" ref="W749" r:id="rId748"/>
    <hyperlink xmlns:r="http://schemas.openxmlformats.org/officeDocument/2006/relationships" ref="W750" r:id="rId749"/>
    <hyperlink xmlns:r="http://schemas.openxmlformats.org/officeDocument/2006/relationships" ref="W751" r:id="rId750"/>
    <hyperlink xmlns:r="http://schemas.openxmlformats.org/officeDocument/2006/relationships" ref="W752" r:id="rId751"/>
    <hyperlink xmlns:r="http://schemas.openxmlformats.org/officeDocument/2006/relationships" ref="W753" r:id="rId752"/>
    <hyperlink xmlns:r="http://schemas.openxmlformats.org/officeDocument/2006/relationships" ref="W754" r:id="rId753"/>
    <hyperlink xmlns:r="http://schemas.openxmlformats.org/officeDocument/2006/relationships" ref="W755" r:id="rId754"/>
    <hyperlink xmlns:r="http://schemas.openxmlformats.org/officeDocument/2006/relationships" ref="W756" r:id="rId755"/>
    <hyperlink xmlns:r="http://schemas.openxmlformats.org/officeDocument/2006/relationships" ref="W757" r:id="rId756"/>
    <hyperlink xmlns:r="http://schemas.openxmlformats.org/officeDocument/2006/relationships" ref="W758" r:id="rId757"/>
    <hyperlink xmlns:r="http://schemas.openxmlformats.org/officeDocument/2006/relationships" ref="W759" r:id="rId758"/>
    <hyperlink xmlns:r="http://schemas.openxmlformats.org/officeDocument/2006/relationships" ref="W760" r:id="rId759"/>
    <hyperlink xmlns:r="http://schemas.openxmlformats.org/officeDocument/2006/relationships" ref="W761" r:id="rId760"/>
    <hyperlink xmlns:r="http://schemas.openxmlformats.org/officeDocument/2006/relationships" ref="W762" r:id="rId761"/>
    <hyperlink xmlns:r="http://schemas.openxmlformats.org/officeDocument/2006/relationships" ref="W763" r:id="rId762"/>
    <hyperlink xmlns:r="http://schemas.openxmlformats.org/officeDocument/2006/relationships" ref="W764" r:id="rId763"/>
    <hyperlink xmlns:r="http://schemas.openxmlformats.org/officeDocument/2006/relationships" ref="W765" r:id="rId764"/>
    <hyperlink xmlns:r="http://schemas.openxmlformats.org/officeDocument/2006/relationships" ref="W766" r:id="rId765"/>
    <hyperlink xmlns:r="http://schemas.openxmlformats.org/officeDocument/2006/relationships" ref="W767" r:id="rId766"/>
    <hyperlink xmlns:r="http://schemas.openxmlformats.org/officeDocument/2006/relationships" ref="W768" r:id="rId767"/>
    <hyperlink xmlns:r="http://schemas.openxmlformats.org/officeDocument/2006/relationships" ref="W769" r:id="rId768"/>
    <hyperlink xmlns:r="http://schemas.openxmlformats.org/officeDocument/2006/relationships" ref="W770" r:id="rId769"/>
    <hyperlink xmlns:r="http://schemas.openxmlformats.org/officeDocument/2006/relationships" ref="W771" r:id="rId770"/>
    <hyperlink xmlns:r="http://schemas.openxmlformats.org/officeDocument/2006/relationships" ref="W772" r:id="rId771"/>
    <hyperlink xmlns:r="http://schemas.openxmlformats.org/officeDocument/2006/relationships" ref="W773" r:id="rId772"/>
    <hyperlink xmlns:r="http://schemas.openxmlformats.org/officeDocument/2006/relationships" ref="W774" r:id="rId773"/>
    <hyperlink xmlns:r="http://schemas.openxmlformats.org/officeDocument/2006/relationships" ref="W775" r:id="rId774"/>
    <hyperlink xmlns:r="http://schemas.openxmlformats.org/officeDocument/2006/relationships" ref="W776" r:id="rId775"/>
    <hyperlink xmlns:r="http://schemas.openxmlformats.org/officeDocument/2006/relationships" ref="W777" r:id="rId776"/>
    <hyperlink xmlns:r="http://schemas.openxmlformats.org/officeDocument/2006/relationships" ref="W778" r:id="rId777"/>
    <hyperlink xmlns:r="http://schemas.openxmlformats.org/officeDocument/2006/relationships" ref="W779" r:id="rId778"/>
    <hyperlink xmlns:r="http://schemas.openxmlformats.org/officeDocument/2006/relationships" ref="W780" r:id="rId779"/>
    <hyperlink xmlns:r="http://schemas.openxmlformats.org/officeDocument/2006/relationships" ref="W781" r:id="rId780"/>
    <hyperlink xmlns:r="http://schemas.openxmlformats.org/officeDocument/2006/relationships" ref="W782" r:id="rId781"/>
    <hyperlink xmlns:r="http://schemas.openxmlformats.org/officeDocument/2006/relationships" ref="W783" r:id="rId782"/>
    <hyperlink xmlns:r="http://schemas.openxmlformats.org/officeDocument/2006/relationships" ref="W784" r:id="rId783"/>
    <hyperlink xmlns:r="http://schemas.openxmlformats.org/officeDocument/2006/relationships" ref="W785" r:id="rId784"/>
    <hyperlink xmlns:r="http://schemas.openxmlformats.org/officeDocument/2006/relationships" ref="W786" r:id="rId785"/>
    <hyperlink xmlns:r="http://schemas.openxmlformats.org/officeDocument/2006/relationships" ref="W787" r:id="rId786"/>
    <hyperlink xmlns:r="http://schemas.openxmlformats.org/officeDocument/2006/relationships" ref="W788" r:id="rId787"/>
    <hyperlink xmlns:r="http://schemas.openxmlformats.org/officeDocument/2006/relationships" ref="W789" r:id="rId788"/>
    <hyperlink xmlns:r="http://schemas.openxmlformats.org/officeDocument/2006/relationships" ref="W790" r:id="rId789"/>
    <hyperlink xmlns:r="http://schemas.openxmlformats.org/officeDocument/2006/relationships" ref="W791" r:id="rId790"/>
    <hyperlink xmlns:r="http://schemas.openxmlformats.org/officeDocument/2006/relationships" ref="W792" r:id="rId791"/>
    <hyperlink xmlns:r="http://schemas.openxmlformats.org/officeDocument/2006/relationships" ref="W793" r:id="rId792"/>
    <hyperlink xmlns:r="http://schemas.openxmlformats.org/officeDocument/2006/relationships" ref="W794" r:id="rId793"/>
    <hyperlink xmlns:r="http://schemas.openxmlformats.org/officeDocument/2006/relationships" ref="W795" r:id="rId794"/>
    <hyperlink xmlns:r="http://schemas.openxmlformats.org/officeDocument/2006/relationships" ref="W796" r:id="rId795"/>
    <hyperlink xmlns:r="http://schemas.openxmlformats.org/officeDocument/2006/relationships" ref="W797" r:id="rId796"/>
    <hyperlink xmlns:r="http://schemas.openxmlformats.org/officeDocument/2006/relationships" ref="W798" r:id="rId797"/>
    <hyperlink xmlns:r="http://schemas.openxmlformats.org/officeDocument/2006/relationships" ref="W799" r:id="rId798"/>
    <hyperlink xmlns:r="http://schemas.openxmlformats.org/officeDocument/2006/relationships" ref="W800" r:id="rId799"/>
    <hyperlink xmlns:r="http://schemas.openxmlformats.org/officeDocument/2006/relationships" ref="W801" r:id="rId800"/>
    <hyperlink xmlns:r="http://schemas.openxmlformats.org/officeDocument/2006/relationships" ref="W802" r:id="rId801"/>
    <hyperlink xmlns:r="http://schemas.openxmlformats.org/officeDocument/2006/relationships" ref="W803" r:id="rId802"/>
    <hyperlink xmlns:r="http://schemas.openxmlformats.org/officeDocument/2006/relationships" ref="W804" r:id="rId803"/>
    <hyperlink xmlns:r="http://schemas.openxmlformats.org/officeDocument/2006/relationships" ref="W805" r:id="rId804"/>
    <hyperlink xmlns:r="http://schemas.openxmlformats.org/officeDocument/2006/relationships" ref="W806" r:id="rId805"/>
    <hyperlink xmlns:r="http://schemas.openxmlformats.org/officeDocument/2006/relationships" ref="W807" r:id="rId806"/>
    <hyperlink xmlns:r="http://schemas.openxmlformats.org/officeDocument/2006/relationships" ref="W808" r:id="rId807"/>
    <hyperlink xmlns:r="http://schemas.openxmlformats.org/officeDocument/2006/relationships" ref="W809" r:id="rId808"/>
    <hyperlink xmlns:r="http://schemas.openxmlformats.org/officeDocument/2006/relationships" ref="W810" r:id="rId809"/>
    <hyperlink xmlns:r="http://schemas.openxmlformats.org/officeDocument/2006/relationships" ref="W811" r:id="rId810"/>
    <hyperlink xmlns:r="http://schemas.openxmlformats.org/officeDocument/2006/relationships" ref="W812" r:id="rId811"/>
    <hyperlink xmlns:r="http://schemas.openxmlformats.org/officeDocument/2006/relationships" ref="W813" r:id="rId812"/>
    <hyperlink xmlns:r="http://schemas.openxmlformats.org/officeDocument/2006/relationships" ref="W814" r:id="rId813"/>
    <hyperlink xmlns:r="http://schemas.openxmlformats.org/officeDocument/2006/relationships" ref="W815" r:id="rId814"/>
    <hyperlink xmlns:r="http://schemas.openxmlformats.org/officeDocument/2006/relationships" ref="W816" r:id="rId815"/>
    <hyperlink xmlns:r="http://schemas.openxmlformats.org/officeDocument/2006/relationships" ref="W817" r:id="rId816"/>
    <hyperlink xmlns:r="http://schemas.openxmlformats.org/officeDocument/2006/relationships" ref="W818" r:id="rId817"/>
    <hyperlink xmlns:r="http://schemas.openxmlformats.org/officeDocument/2006/relationships" ref="W819" r:id="rId818"/>
    <hyperlink xmlns:r="http://schemas.openxmlformats.org/officeDocument/2006/relationships" ref="W820" r:id="rId819"/>
    <hyperlink xmlns:r="http://schemas.openxmlformats.org/officeDocument/2006/relationships" ref="W821" r:id="rId820"/>
    <hyperlink xmlns:r="http://schemas.openxmlformats.org/officeDocument/2006/relationships" ref="W822" r:id="rId821"/>
    <hyperlink xmlns:r="http://schemas.openxmlformats.org/officeDocument/2006/relationships" ref="W823" r:id="rId822"/>
    <hyperlink xmlns:r="http://schemas.openxmlformats.org/officeDocument/2006/relationships" ref="W824" r:id="rId823"/>
    <hyperlink xmlns:r="http://schemas.openxmlformats.org/officeDocument/2006/relationships" ref="W825" r:id="rId824"/>
    <hyperlink xmlns:r="http://schemas.openxmlformats.org/officeDocument/2006/relationships" ref="W826" r:id="rId825"/>
    <hyperlink xmlns:r="http://schemas.openxmlformats.org/officeDocument/2006/relationships" ref="W827" r:id="rId826"/>
    <hyperlink xmlns:r="http://schemas.openxmlformats.org/officeDocument/2006/relationships" ref="W828" r:id="rId827"/>
    <hyperlink xmlns:r="http://schemas.openxmlformats.org/officeDocument/2006/relationships" ref="W829" r:id="rId828"/>
    <hyperlink xmlns:r="http://schemas.openxmlformats.org/officeDocument/2006/relationships" ref="W830" r:id="rId829"/>
    <hyperlink xmlns:r="http://schemas.openxmlformats.org/officeDocument/2006/relationships" ref="W831" r:id="rId830"/>
    <hyperlink xmlns:r="http://schemas.openxmlformats.org/officeDocument/2006/relationships" ref="W832" r:id="rId831"/>
    <hyperlink xmlns:r="http://schemas.openxmlformats.org/officeDocument/2006/relationships" ref="W833" r:id="rId832"/>
    <hyperlink xmlns:r="http://schemas.openxmlformats.org/officeDocument/2006/relationships" ref="W834" r:id="rId833"/>
    <hyperlink xmlns:r="http://schemas.openxmlformats.org/officeDocument/2006/relationships" ref="W835" r:id="rId834"/>
    <hyperlink xmlns:r="http://schemas.openxmlformats.org/officeDocument/2006/relationships" ref="W836" r:id="rId835"/>
    <hyperlink xmlns:r="http://schemas.openxmlformats.org/officeDocument/2006/relationships" ref="W837" r:id="rId836"/>
    <hyperlink xmlns:r="http://schemas.openxmlformats.org/officeDocument/2006/relationships" ref="W838" r:id="rId837"/>
    <hyperlink xmlns:r="http://schemas.openxmlformats.org/officeDocument/2006/relationships" ref="W839" r:id="rId838"/>
    <hyperlink xmlns:r="http://schemas.openxmlformats.org/officeDocument/2006/relationships" ref="W840" r:id="rId839"/>
    <hyperlink xmlns:r="http://schemas.openxmlformats.org/officeDocument/2006/relationships" ref="W841" r:id="rId840"/>
    <hyperlink xmlns:r="http://schemas.openxmlformats.org/officeDocument/2006/relationships" ref="W842" r:id="rId841"/>
    <hyperlink xmlns:r="http://schemas.openxmlformats.org/officeDocument/2006/relationships" ref="W843" r:id="rId842"/>
    <hyperlink xmlns:r="http://schemas.openxmlformats.org/officeDocument/2006/relationships" ref="W844" r:id="rId843"/>
    <hyperlink xmlns:r="http://schemas.openxmlformats.org/officeDocument/2006/relationships" ref="W845" r:id="rId844"/>
    <hyperlink xmlns:r="http://schemas.openxmlformats.org/officeDocument/2006/relationships" ref="W846" r:id="rId845"/>
    <hyperlink xmlns:r="http://schemas.openxmlformats.org/officeDocument/2006/relationships" ref="W847" r:id="rId846"/>
    <hyperlink xmlns:r="http://schemas.openxmlformats.org/officeDocument/2006/relationships" ref="W848" r:id="rId847"/>
    <hyperlink xmlns:r="http://schemas.openxmlformats.org/officeDocument/2006/relationships" ref="W849" r:id="rId848"/>
    <hyperlink xmlns:r="http://schemas.openxmlformats.org/officeDocument/2006/relationships" ref="W850" r:id="rId849"/>
    <hyperlink xmlns:r="http://schemas.openxmlformats.org/officeDocument/2006/relationships" ref="W851" r:id="rId850"/>
    <hyperlink xmlns:r="http://schemas.openxmlformats.org/officeDocument/2006/relationships" ref="W852" r:id="rId851"/>
    <hyperlink xmlns:r="http://schemas.openxmlformats.org/officeDocument/2006/relationships" ref="W853" r:id="rId852"/>
    <hyperlink xmlns:r="http://schemas.openxmlformats.org/officeDocument/2006/relationships" ref="W854" r:id="rId853"/>
    <hyperlink xmlns:r="http://schemas.openxmlformats.org/officeDocument/2006/relationships" ref="W855" r:id="rId854"/>
    <hyperlink xmlns:r="http://schemas.openxmlformats.org/officeDocument/2006/relationships" ref="W856" r:id="rId855"/>
    <hyperlink xmlns:r="http://schemas.openxmlformats.org/officeDocument/2006/relationships" ref="W857" r:id="rId856"/>
    <hyperlink xmlns:r="http://schemas.openxmlformats.org/officeDocument/2006/relationships" ref="W858" r:id="rId857"/>
    <hyperlink xmlns:r="http://schemas.openxmlformats.org/officeDocument/2006/relationships" ref="W859" r:id="rId858"/>
    <hyperlink xmlns:r="http://schemas.openxmlformats.org/officeDocument/2006/relationships" ref="W860" r:id="rId859"/>
    <hyperlink xmlns:r="http://schemas.openxmlformats.org/officeDocument/2006/relationships" ref="W861" r:id="rId860"/>
    <hyperlink xmlns:r="http://schemas.openxmlformats.org/officeDocument/2006/relationships" ref="W862" r:id="rId861"/>
    <hyperlink xmlns:r="http://schemas.openxmlformats.org/officeDocument/2006/relationships" ref="W863" r:id="rId862"/>
    <hyperlink xmlns:r="http://schemas.openxmlformats.org/officeDocument/2006/relationships" ref="W864" r:id="rId863"/>
    <hyperlink xmlns:r="http://schemas.openxmlformats.org/officeDocument/2006/relationships" ref="W865" r:id="rId864"/>
    <hyperlink xmlns:r="http://schemas.openxmlformats.org/officeDocument/2006/relationships" ref="W866" r:id="rId865"/>
    <hyperlink xmlns:r="http://schemas.openxmlformats.org/officeDocument/2006/relationships" ref="W867" r:id="rId866"/>
    <hyperlink xmlns:r="http://schemas.openxmlformats.org/officeDocument/2006/relationships" ref="W868" r:id="rId867"/>
    <hyperlink xmlns:r="http://schemas.openxmlformats.org/officeDocument/2006/relationships" ref="W869" r:id="rId868"/>
    <hyperlink xmlns:r="http://schemas.openxmlformats.org/officeDocument/2006/relationships" ref="W870" r:id="rId869"/>
    <hyperlink xmlns:r="http://schemas.openxmlformats.org/officeDocument/2006/relationships" ref="W871" r:id="rId870"/>
    <hyperlink xmlns:r="http://schemas.openxmlformats.org/officeDocument/2006/relationships" ref="W872" r:id="rId871"/>
    <hyperlink xmlns:r="http://schemas.openxmlformats.org/officeDocument/2006/relationships" ref="W873" r:id="rId872"/>
    <hyperlink xmlns:r="http://schemas.openxmlformats.org/officeDocument/2006/relationships" ref="W874" r:id="rId873"/>
    <hyperlink xmlns:r="http://schemas.openxmlformats.org/officeDocument/2006/relationships" ref="W875" r:id="rId874"/>
    <hyperlink xmlns:r="http://schemas.openxmlformats.org/officeDocument/2006/relationships" ref="W876" r:id="rId875"/>
    <hyperlink xmlns:r="http://schemas.openxmlformats.org/officeDocument/2006/relationships" ref="W877" r:id="rId876"/>
    <hyperlink xmlns:r="http://schemas.openxmlformats.org/officeDocument/2006/relationships" ref="W878" r:id="rId877"/>
    <hyperlink xmlns:r="http://schemas.openxmlformats.org/officeDocument/2006/relationships" ref="W879" r:id="rId878"/>
    <hyperlink xmlns:r="http://schemas.openxmlformats.org/officeDocument/2006/relationships" ref="W880" r:id="rId879"/>
    <hyperlink xmlns:r="http://schemas.openxmlformats.org/officeDocument/2006/relationships" ref="W881" r:id="rId880"/>
    <hyperlink xmlns:r="http://schemas.openxmlformats.org/officeDocument/2006/relationships" ref="W882" r:id="rId881"/>
    <hyperlink xmlns:r="http://schemas.openxmlformats.org/officeDocument/2006/relationships" ref="W883" r:id="rId882"/>
    <hyperlink xmlns:r="http://schemas.openxmlformats.org/officeDocument/2006/relationships" ref="W884" r:id="rId883"/>
    <hyperlink xmlns:r="http://schemas.openxmlformats.org/officeDocument/2006/relationships" ref="W885" r:id="rId884"/>
    <hyperlink xmlns:r="http://schemas.openxmlformats.org/officeDocument/2006/relationships" ref="W886" r:id="rId885"/>
    <hyperlink xmlns:r="http://schemas.openxmlformats.org/officeDocument/2006/relationships" ref="W887" r:id="rId886"/>
    <hyperlink xmlns:r="http://schemas.openxmlformats.org/officeDocument/2006/relationships" ref="W888" r:id="rId887"/>
    <hyperlink xmlns:r="http://schemas.openxmlformats.org/officeDocument/2006/relationships" ref="W889" r:id="rId888"/>
    <hyperlink xmlns:r="http://schemas.openxmlformats.org/officeDocument/2006/relationships" ref="W890" r:id="rId889"/>
    <hyperlink xmlns:r="http://schemas.openxmlformats.org/officeDocument/2006/relationships" ref="W891" r:id="rId890"/>
    <hyperlink xmlns:r="http://schemas.openxmlformats.org/officeDocument/2006/relationships" ref="W892" r:id="rId891"/>
    <hyperlink xmlns:r="http://schemas.openxmlformats.org/officeDocument/2006/relationships" ref="W893" r:id="rId892"/>
    <hyperlink xmlns:r="http://schemas.openxmlformats.org/officeDocument/2006/relationships" ref="W894" r:id="rId893"/>
    <hyperlink xmlns:r="http://schemas.openxmlformats.org/officeDocument/2006/relationships" ref="W895" r:id="rId894"/>
    <hyperlink xmlns:r="http://schemas.openxmlformats.org/officeDocument/2006/relationships" ref="W896" r:id="rId895"/>
    <hyperlink xmlns:r="http://schemas.openxmlformats.org/officeDocument/2006/relationships" ref="W897" r:id="rId896"/>
    <hyperlink xmlns:r="http://schemas.openxmlformats.org/officeDocument/2006/relationships" ref="W898" r:id="rId897"/>
    <hyperlink xmlns:r="http://schemas.openxmlformats.org/officeDocument/2006/relationships" ref="W899" r:id="rId898"/>
    <hyperlink xmlns:r="http://schemas.openxmlformats.org/officeDocument/2006/relationships" ref="W900" r:id="rId899"/>
    <hyperlink xmlns:r="http://schemas.openxmlformats.org/officeDocument/2006/relationships" ref="W901" r:id="rId900"/>
    <hyperlink xmlns:r="http://schemas.openxmlformats.org/officeDocument/2006/relationships" ref="W902" r:id="rId901"/>
    <hyperlink xmlns:r="http://schemas.openxmlformats.org/officeDocument/2006/relationships" ref="W903" r:id="rId902"/>
    <hyperlink xmlns:r="http://schemas.openxmlformats.org/officeDocument/2006/relationships" ref="W904" r:id="rId903"/>
    <hyperlink xmlns:r="http://schemas.openxmlformats.org/officeDocument/2006/relationships" ref="W905" r:id="rId904"/>
    <hyperlink xmlns:r="http://schemas.openxmlformats.org/officeDocument/2006/relationships" ref="W906" r:id="rId905"/>
    <hyperlink xmlns:r="http://schemas.openxmlformats.org/officeDocument/2006/relationships" ref="W907" r:id="rId906"/>
    <hyperlink xmlns:r="http://schemas.openxmlformats.org/officeDocument/2006/relationships" ref="W908" r:id="rId907"/>
    <hyperlink xmlns:r="http://schemas.openxmlformats.org/officeDocument/2006/relationships" ref="W909" r:id="rId908"/>
    <hyperlink xmlns:r="http://schemas.openxmlformats.org/officeDocument/2006/relationships" ref="W910" r:id="rId909"/>
    <hyperlink xmlns:r="http://schemas.openxmlformats.org/officeDocument/2006/relationships" ref="W911" r:id="rId910"/>
    <hyperlink xmlns:r="http://schemas.openxmlformats.org/officeDocument/2006/relationships" ref="W912" r:id="rId911"/>
    <hyperlink xmlns:r="http://schemas.openxmlformats.org/officeDocument/2006/relationships" ref="W913" r:id="rId912"/>
    <hyperlink xmlns:r="http://schemas.openxmlformats.org/officeDocument/2006/relationships" ref="W914" r:id="rId913"/>
    <hyperlink xmlns:r="http://schemas.openxmlformats.org/officeDocument/2006/relationships" ref="W915" r:id="rId914"/>
    <hyperlink xmlns:r="http://schemas.openxmlformats.org/officeDocument/2006/relationships" ref="W916" r:id="rId915"/>
    <hyperlink xmlns:r="http://schemas.openxmlformats.org/officeDocument/2006/relationships" ref="W917" r:id="rId916"/>
    <hyperlink xmlns:r="http://schemas.openxmlformats.org/officeDocument/2006/relationships" ref="W918" r:id="rId917"/>
    <hyperlink xmlns:r="http://schemas.openxmlformats.org/officeDocument/2006/relationships" ref="W919" r:id="rId918"/>
    <hyperlink xmlns:r="http://schemas.openxmlformats.org/officeDocument/2006/relationships" ref="W920" r:id="rId919"/>
    <hyperlink xmlns:r="http://schemas.openxmlformats.org/officeDocument/2006/relationships" ref="W921" r:id="rId920"/>
    <hyperlink xmlns:r="http://schemas.openxmlformats.org/officeDocument/2006/relationships" ref="W922" r:id="rId921"/>
    <hyperlink xmlns:r="http://schemas.openxmlformats.org/officeDocument/2006/relationships" ref="W923" r:id="rId922"/>
    <hyperlink xmlns:r="http://schemas.openxmlformats.org/officeDocument/2006/relationships" ref="W924" r:id="rId923"/>
    <hyperlink xmlns:r="http://schemas.openxmlformats.org/officeDocument/2006/relationships" ref="W925" r:id="rId924"/>
    <hyperlink xmlns:r="http://schemas.openxmlformats.org/officeDocument/2006/relationships" ref="W926" r:id="rId925"/>
    <hyperlink xmlns:r="http://schemas.openxmlformats.org/officeDocument/2006/relationships" ref="W927" r:id="rId926"/>
    <hyperlink xmlns:r="http://schemas.openxmlformats.org/officeDocument/2006/relationships" ref="W928" r:id="rId927"/>
    <hyperlink xmlns:r="http://schemas.openxmlformats.org/officeDocument/2006/relationships" ref="W929" r:id="rId928"/>
    <hyperlink xmlns:r="http://schemas.openxmlformats.org/officeDocument/2006/relationships" ref="W930" r:id="rId929"/>
    <hyperlink xmlns:r="http://schemas.openxmlformats.org/officeDocument/2006/relationships" ref="W931" r:id="rId930"/>
    <hyperlink xmlns:r="http://schemas.openxmlformats.org/officeDocument/2006/relationships" ref="W932" r:id="rId931"/>
    <hyperlink xmlns:r="http://schemas.openxmlformats.org/officeDocument/2006/relationships" ref="W933" r:id="rId932"/>
    <hyperlink xmlns:r="http://schemas.openxmlformats.org/officeDocument/2006/relationships" ref="W934" r:id="rId933"/>
    <hyperlink xmlns:r="http://schemas.openxmlformats.org/officeDocument/2006/relationships" ref="W935" r:id="rId934"/>
    <hyperlink xmlns:r="http://schemas.openxmlformats.org/officeDocument/2006/relationships" ref="W936" r:id="rId935"/>
    <hyperlink xmlns:r="http://schemas.openxmlformats.org/officeDocument/2006/relationships" ref="W937" r:id="rId936"/>
    <hyperlink xmlns:r="http://schemas.openxmlformats.org/officeDocument/2006/relationships" ref="W938" r:id="rId937"/>
    <hyperlink xmlns:r="http://schemas.openxmlformats.org/officeDocument/2006/relationships" ref="W939" r:id="rId938"/>
    <hyperlink xmlns:r="http://schemas.openxmlformats.org/officeDocument/2006/relationships" ref="W940" r:id="rId939"/>
    <hyperlink xmlns:r="http://schemas.openxmlformats.org/officeDocument/2006/relationships" ref="W941" r:id="rId940"/>
    <hyperlink xmlns:r="http://schemas.openxmlformats.org/officeDocument/2006/relationships" ref="W942" r:id="rId941"/>
    <hyperlink xmlns:r="http://schemas.openxmlformats.org/officeDocument/2006/relationships" ref="W943" r:id="rId942"/>
    <hyperlink xmlns:r="http://schemas.openxmlformats.org/officeDocument/2006/relationships" ref="W944" r:id="rId943"/>
    <hyperlink xmlns:r="http://schemas.openxmlformats.org/officeDocument/2006/relationships" ref="W945" r:id="rId944"/>
    <hyperlink xmlns:r="http://schemas.openxmlformats.org/officeDocument/2006/relationships" ref="W946" r:id="rId945"/>
    <hyperlink xmlns:r="http://schemas.openxmlformats.org/officeDocument/2006/relationships" ref="W947" r:id="rId946"/>
    <hyperlink xmlns:r="http://schemas.openxmlformats.org/officeDocument/2006/relationships" ref="W948" r:id="rId947"/>
    <hyperlink xmlns:r="http://schemas.openxmlformats.org/officeDocument/2006/relationships" ref="W949" r:id="rId948"/>
    <hyperlink xmlns:r="http://schemas.openxmlformats.org/officeDocument/2006/relationships" ref="W950" r:id="rId949"/>
    <hyperlink xmlns:r="http://schemas.openxmlformats.org/officeDocument/2006/relationships" ref="W951" r:id="rId950"/>
    <hyperlink xmlns:r="http://schemas.openxmlformats.org/officeDocument/2006/relationships" ref="W952" r:id="rId951"/>
    <hyperlink xmlns:r="http://schemas.openxmlformats.org/officeDocument/2006/relationships" ref="W953" r:id="rId952"/>
    <hyperlink xmlns:r="http://schemas.openxmlformats.org/officeDocument/2006/relationships" ref="W954" r:id="rId953"/>
    <hyperlink xmlns:r="http://schemas.openxmlformats.org/officeDocument/2006/relationships" ref="W955" r:id="rId954"/>
    <hyperlink xmlns:r="http://schemas.openxmlformats.org/officeDocument/2006/relationships" ref="W956" r:id="rId955"/>
    <hyperlink xmlns:r="http://schemas.openxmlformats.org/officeDocument/2006/relationships" ref="W957" r:id="rId956"/>
    <hyperlink xmlns:r="http://schemas.openxmlformats.org/officeDocument/2006/relationships" ref="W958" r:id="rId957"/>
    <hyperlink xmlns:r="http://schemas.openxmlformats.org/officeDocument/2006/relationships" ref="W959" r:id="rId958"/>
    <hyperlink xmlns:r="http://schemas.openxmlformats.org/officeDocument/2006/relationships" ref="W960" r:id="rId959"/>
    <hyperlink xmlns:r="http://schemas.openxmlformats.org/officeDocument/2006/relationships" ref="W961" r:id="rId960"/>
    <hyperlink xmlns:r="http://schemas.openxmlformats.org/officeDocument/2006/relationships" ref="W962" r:id="rId961"/>
    <hyperlink xmlns:r="http://schemas.openxmlformats.org/officeDocument/2006/relationships" ref="W963" r:id="rId962"/>
    <hyperlink xmlns:r="http://schemas.openxmlformats.org/officeDocument/2006/relationships" ref="W964" r:id="rId963"/>
    <hyperlink xmlns:r="http://schemas.openxmlformats.org/officeDocument/2006/relationships" ref="W965" r:id="rId964"/>
    <hyperlink xmlns:r="http://schemas.openxmlformats.org/officeDocument/2006/relationships" ref="W966" r:id="rId965"/>
    <hyperlink xmlns:r="http://schemas.openxmlformats.org/officeDocument/2006/relationships" ref="W967" r:id="rId966"/>
    <hyperlink xmlns:r="http://schemas.openxmlformats.org/officeDocument/2006/relationships" ref="W968" r:id="rId967"/>
    <hyperlink xmlns:r="http://schemas.openxmlformats.org/officeDocument/2006/relationships" ref="W969" r:id="rId968"/>
    <hyperlink xmlns:r="http://schemas.openxmlformats.org/officeDocument/2006/relationships" ref="W970" r:id="rId969"/>
    <hyperlink xmlns:r="http://schemas.openxmlformats.org/officeDocument/2006/relationships" ref="W971" r:id="rId970"/>
    <hyperlink xmlns:r="http://schemas.openxmlformats.org/officeDocument/2006/relationships" ref="W972" r:id="rId971"/>
    <hyperlink xmlns:r="http://schemas.openxmlformats.org/officeDocument/2006/relationships" ref="W973" r:id="rId972"/>
    <hyperlink xmlns:r="http://schemas.openxmlformats.org/officeDocument/2006/relationships" ref="W974" r:id="rId973"/>
    <hyperlink xmlns:r="http://schemas.openxmlformats.org/officeDocument/2006/relationships" ref="W975" r:id="rId974"/>
    <hyperlink xmlns:r="http://schemas.openxmlformats.org/officeDocument/2006/relationships" ref="W976" r:id="rId975"/>
    <hyperlink xmlns:r="http://schemas.openxmlformats.org/officeDocument/2006/relationships" ref="W977" r:id="rId976"/>
    <hyperlink xmlns:r="http://schemas.openxmlformats.org/officeDocument/2006/relationships" ref="W978" r:id="rId977"/>
    <hyperlink xmlns:r="http://schemas.openxmlformats.org/officeDocument/2006/relationships" ref="W979" r:id="rId978"/>
    <hyperlink xmlns:r="http://schemas.openxmlformats.org/officeDocument/2006/relationships" ref="W980" r:id="rId979"/>
    <hyperlink xmlns:r="http://schemas.openxmlformats.org/officeDocument/2006/relationships" ref="W981" r:id="rId980"/>
    <hyperlink xmlns:r="http://schemas.openxmlformats.org/officeDocument/2006/relationships" ref="W982" r:id="rId981"/>
    <hyperlink xmlns:r="http://schemas.openxmlformats.org/officeDocument/2006/relationships" ref="W983" r:id="rId982"/>
    <hyperlink xmlns:r="http://schemas.openxmlformats.org/officeDocument/2006/relationships" ref="W984" r:id="rId983"/>
    <hyperlink xmlns:r="http://schemas.openxmlformats.org/officeDocument/2006/relationships" ref="W985" r:id="rId984"/>
    <hyperlink xmlns:r="http://schemas.openxmlformats.org/officeDocument/2006/relationships" ref="W986" r:id="rId985"/>
    <hyperlink xmlns:r="http://schemas.openxmlformats.org/officeDocument/2006/relationships" ref="W987" r:id="rId986"/>
    <hyperlink xmlns:r="http://schemas.openxmlformats.org/officeDocument/2006/relationships" ref="W988" r:id="rId987"/>
    <hyperlink xmlns:r="http://schemas.openxmlformats.org/officeDocument/2006/relationships" ref="W989" r:id="rId988"/>
    <hyperlink xmlns:r="http://schemas.openxmlformats.org/officeDocument/2006/relationships" ref="W990" r:id="rId989"/>
    <hyperlink xmlns:r="http://schemas.openxmlformats.org/officeDocument/2006/relationships" ref="W991" r:id="rId990"/>
    <hyperlink xmlns:r="http://schemas.openxmlformats.org/officeDocument/2006/relationships" ref="W992" r:id="rId991"/>
    <hyperlink xmlns:r="http://schemas.openxmlformats.org/officeDocument/2006/relationships" ref="W993" r:id="rId992"/>
    <hyperlink xmlns:r="http://schemas.openxmlformats.org/officeDocument/2006/relationships" ref="W994" r:id="rId993"/>
    <hyperlink xmlns:r="http://schemas.openxmlformats.org/officeDocument/2006/relationships" ref="W995" r:id="rId994"/>
    <hyperlink xmlns:r="http://schemas.openxmlformats.org/officeDocument/2006/relationships" ref="W996" r:id="rId995"/>
    <hyperlink xmlns:r="http://schemas.openxmlformats.org/officeDocument/2006/relationships" ref="W997" r:id="rId996"/>
    <hyperlink xmlns:r="http://schemas.openxmlformats.org/officeDocument/2006/relationships" ref="W998" r:id="rId997"/>
    <hyperlink xmlns:r="http://schemas.openxmlformats.org/officeDocument/2006/relationships" ref="W999" r:id="rId998"/>
    <hyperlink xmlns:r="http://schemas.openxmlformats.org/officeDocument/2006/relationships" ref="W1000" r:id="rId999"/>
    <hyperlink xmlns:r="http://schemas.openxmlformats.org/officeDocument/2006/relationships" ref="W1001" r:id="rId1000"/>
    <hyperlink xmlns:r="http://schemas.openxmlformats.org/officeDocument/2006/relationships" ref="W1002" r:id="rId1001"/>
    <hyperlink xmlns:r="http://schemas.openxmlformats.org/officeDocument/2006/relationships" ref="W1003" r:id="rId1002"/>
    <hyperlink xmlns:r="http://schemas.openxmlformats.org/officeDocument/2006/relationships" ref="W1004" r:id="rId1003"/>
    <hyperlink xmlns:r="http://schemas.openxmlformats.org/officeDocument/2006/relationships" ref="W1005" r:id="rId1004"/>
    <hyperlink xmlns:r="http://schemas.openxmlformats.org/officeDocument/2006/relationships" ref="W1006" r:id="rId1005"/>
    <hyperlink xmlns:r="http://schemas.openxmlformats.org/officeDocument/2006/relationships" ref="W1007" r:id="rId1006"/>
    <hyperlink xmlns:r="http://schemas.openxmlformats.org/officeDocument/2006/relationships" ref="W1008" r:id="rId1007"/>
    <hyperlink xmlns:r="http://schemas.openxmlformats.org/officeDocument/2006/relationships" ref="W1009" r:id="rId1008"/>
    <hyperlink xmlns:r="http://schemas.openxmlformats.org/officeDocument/2006/relationships" ref="W1010" r:id="rId1009"/>
    <hyperlink xmlns:r="http://schemas.openxmlformats.org/officeDocument/2006/relationships" ref="W1011" r:id="rId1010"/>
    <hyperlink xmlns:r="http://schemas.openxmlformats.org/officeDocument/2006/relationships" ref="W1012" r:id="rId1011"/>
    <hyperlink xmlns:r="http://schemas.openxmlformats.org/officeDocument/2006/relationships" ref="W1013" r:id="rId1012"/>
    <hyperlink xmlns:r="http://schemas.openxmlformats.org/officeDocument/2006/relationships" ref="W1014" r:id="rId1013"/>
    <hyperlink xmlns:r="http://schemas.openxmlformats.org/officeDocument/2006/relationships" ref="W1015" r:id="rId1014"/>
    <hyperlink xmlns:r="http://schemas.openxmlformats.org/officeDocument/2006/relationships" ref="W1016" r:id="rId1015"/>
    <hyperlink xmlns:r="http://schemas.openxmlformats.org/officeDocument/2006/relationships" ref="W1017" r:id="rId1016"/>
    <hyperlink xmlns:r="http://schemas.openxmlformats.org/officeDocument/2006/relationships" ref="W1018" r:id="rId1017"/>
    <hyperlink xmlns:r="http://schemas.openxmlformats.org/officeDocument/2006/relationships" ref="W1019" r:id="rId1018"/>
    <hyperlink xmlns:r="http://schemas.openxmlformats.org/officeDocument/2006/relationships" ref="W1020" r:id="rId1019"/>
    <hyperlink xmlns:r="http://schemas.openxmlformats.org/officeDocument/2006/relationships" ref="W1021" r:id="rId1020"/>
    <hyperlink xmlns:r="http://schemas.openxmlformats.org/officeDocument/2006/relationships" ref="W1022" r:id="rId1021"/>
    <hyperlink xmlns:r="http://schemas.openxmlformats.org/officeDocument/2006/relationships" ref="W1023" r:id="rId1022"/>
    <hyperlink xmlns:r="http://schemas.openxmlformats.org/officeDocument/2006/relationships" ref="W1024" r:id="rId1023"/>
    <hyperlink xmlns:r="http://schemas.openxmlformats.org/officeDocument/2006/relationships" ref="W1025" r:id="rId1024"/>
    <hyperlink xmlns:r="http://schemas.openxmlformats.org/officeDocument/2006/relationships" ref="W1026" r:id="rId1025"/>
    <hyperlink xmlns:r="http://schemas.openxmlformats.org/officeDocument/2006/relationships" ref="W1027" r:id="rId1026"/>
    <hyperlink xmlns:r="http://schemas.openxmlformats.org/officeDocument/2006/relationships" ref="W1028" r:id="rId1027"/>
    <hyperlink xmlns:r="http://schemas.openxmlformats.org/officeDocument/2006/relationships" ref="W1029" r:id="rId1028"/>
    <hyperlink xmlns:r="http://schemas.openxmlformats.org/officeDocument/2006/relationships" ref="W1030" r:id="rId1029"/>
    <hyperlink xmlns:r="http://schemas.openxmlformats.org/officeDocument/2006/relationships" ref="W1031" r:id="rId1030"/>
    <hyperlink xmlns:r="http://schemas.openxmlformats.org/officeDocument/2006/relationships" ref="W1032" r:id="rId1031"/>
    <hyperlink xmlns:r="http://schemas.openxmlformats.org/officeDocument/2006/relationships" ref="W1033" r:id="rId1032"/>
    <hyperlink xmlns:r="http://schemas.openxmlformats.org/officeDocument/2006/relationships" ref="W1034" r:id="rId1033"/>
    <hyperlink xmlns:r="http://schemas.openxmlformats.org/officeDocument/2006/relationships" ref="W1035" r:id="rId1034"/>
    <hyperlink xmlns:r="http://schemas.openxmlformats.org/officeDocument/2006/relationships" ref="W1036" r:id="rId1035"/>
    <hyperlink xmlns:r="http://schemas.openxmlformats.org/officeDocument/2006/relationships" ref="W1037" r:id="rId1036"/>
    <hyperlink xmlns:r="http://schemas.openxmlformats.org/officeDocument/2006/relationships" ref="W1038" r:id="rId1037"/>
    <hyperlink xmlns:r="http://schemas.openxmlformats.org/officeDocument/2006/relationships" ref="W1039" r:id="rId1038"/>
    <hyperlink xmlns:r="http://schemas.openxmlformats.org/officeDocument/2006/relationships" ref="W1040" r:id="rId1039"/>
    <hyperlink xmlns:r="http://schemas.openxmlformats.org/officeDocument/2006/relationships" ref="W1041" r:id="rId1040"/>
    <hyperlink xmlns:r="http://schemas.openxmlformats.org/officeDocument/2006/relationships" ref="W1042" r:id="rId1041"/>
    <hyperlink xmlns:r="http://schemas.openxmlformats.org/officeDocument/2006/relationships" ref="W1043" r:id="rId1042"/>
    <hyperlink xmlns:r="http://schemas.openxmlformats.org/officeDocument/2006/relationships" ref="W1044" r:id="rId1043"/>
    <hyperlink xmlns:r="http://schemas.openxmlformats.org/officeDocument/2006/relationships" ref="W1045" r:id="rId1044"/>
    <hyperlink xmlns:r="http://schemas.openxmlformats.org/officeDocument/2006/relationships" ref="W1046" r:id="rId1045"/>
    <hyperlink xmlns:r="http://schemas.openxmlformats.org/officeDocument/2006/relationships" ref="W1047" r:id="rId1046"/>
    <hyperlink xmlns:r="http://schemas.openxmlformats.org/officeDocument/2006/relationships" ref="W1048" r:id="rId1047"/>
    <hyperlink xmlns:r="http://schemas.openxmlformats.org/officeDocument/2006/relationships" ref="W1049" r:id="rId1048"/>
    <hyperlink xmlns:r="http://schemas.openxmlformats.org/officeDocument/2006/relationships" ref="W1050" r:id="rId1049"/>
    <hyperlink xmlns:r="http://schemas.openxmlformats.org/officeDocument/2006/relationships" ref="W1051" r:id="rId1050"/>
    <hyperlink xmlns:r="http://schemas.openxmlformats.org/officeDocument/2006/relationships" ref="W1052" r:id="rId1051"/>
    <hyperlink xmlns:r="http://schemas.openxmlformats.org/officeDocument/2006/relationships" ref="W1053" r:id="rId1052"/>
    <hyperlink xmlns:r="http://schemas.openxmlformats.org/officeDocument/2006/relationships" ref="W1054" r:id="rId1053"/>
    <hyperlink xmlns:r="http://schemas.openxmlformats.org/officeDocument/2006/relationships" ref="W1055" r:id="rId1054"/>
    <hyperlink xmlns:r="http://schemas.openxmlformats.org/officeDocument/2006/relationships" ref="W1056" r:id="rId1055"/>
    <hyperlink xmlns:r="http://schemas.openxmlformats.org/officeDocument/2006/relationships" ref="W1057" r:id="rId1056"/>
    <hyperlink xmlns:r="http://schemas.openxmlformats.org/officeDocument/2006/relationships" ref="W1058" r:id="rId1057"/>
    <hyperlink xmlns:r="http://schemas.openxmlformats.org/officeDocument/2006/relationships" ref="W1059" r:id="rId1058"/>
    <hyperlink xmlns:r="http://schemas.openxmlformats.org/officeDocument/2006/relationships" ref="W1060" r:id="rId1059"/>
    <hyperlink xmlns:r="http://schemas.openxmlformats.org/officeDocument/2006/relationships" ref="W1061" r:id="rId1060"/>
    <hyperlink xmlns:r="http://schemas.openxmlformats.org/officeDocument/2006/relationships" ref="W1062" r:id="rId1061"/>
    <hyperlink xmlns:r="http://schemas.openxmlformats.org/officeDocument/2006/relationships" ref="W1063" r:id="rId1062"/>
    <hyperlink xmlns:r="http://schemas.openxmlformats.org/officeDocument/2006/relationships" ref="W1064" r:id="rId1063"/>
    <hyperlink xmlns:r="http://schemas.openxmlformats.org/officeDocument/2006/relationships" ref="W1065" r:id="rId1064"/>
    <hyperlink xmlns:r="http://schemas.openxmlformats.org/officeDocument/2006/relationships" ref="W1066" r:id="rId1065"/>
    <hyperlink xmlns:r="http://schemas.openxmlformats.org/officeDocument/2006/relationships" ref="W1067" r:id="rId1066"/>
    <hyperlink xmlns:r="http://schemas.openxmlformats.org/officeDocument/2006/relationships" ref="W1068" r:id="rId1067"/>
    <hyperlink xmlns:r="http://schemas.openxmlformats.org/officeDocument/2006/relationships" ref="W1069" r:id="rId1068"/>
    <hyperlink xmlns:r="http://schemas.openxmlformats.org/officeDocument/2006/relationships" ref="W1070" r:id="rId1069"/>
    <hyperlink xmlns:r="http://schemas.openxmlformats.org/officeDocument/2006/relationships" ref="W1071" r:id="rId1070"/>
    <hyperlink xmlns:r="http://schemas.openxmlformats.org/officeDocument/2006/relationships" ref="W1072" r:id="rId1071"/>
    <hyperlink xmlns:r="http://schemas.openxmlformats.org/officeDocument/2006/relationships" ref="W1073" r:id="rId1072"/>
    <hyperlink xmlns:r="http://schemas.openxmlformats.org/officeDocument/2006/relationships" ref="W1074" r:id="rId1073"/>
    <hyperlink xmlns:r="http://schemas.openxmlformats.org/officeDocument/2006/relationships" ref="W1075" r:id="rId1074"/>
    <hyperlink xmlns:r="http://schemas.openxmlformats.org/officeDocument/2006/relationships" ref="W1076" r:id="rId1075"/>
    <hyperlink xmlns:r="http://schemas.openxmlformats.org/officeDocument/2006/relationships" ref="W1077" r:id="rId1076"/>
    <hyperlink xmlns:r="http://schemas.openxmlformats.org/officeDocument/2006/relationships" ref="W1078" r:id="rId1077"/>
    <hyperlink xmlns:r="http://schemas.openxmlformats.org/officeDocument/2006/relationships" ref="W1079" r:id="rId1078"/>
    <hyperlink xmlns:r="http://schemas.openxmlformats.org/officeDocument/2006/relationships" ref="W1080" r:id="rId1079"/>
    <hyperlink xmlns:r="http://schemas.openxmlformats.org/officeDocument/2006/relationships" ref="W1081" r:id="rId1080"/>
    <hyperlink xmlns:r="http://schemas.openxmlformats.org/officeDocument/2006/relationships" ref="W1082" r:id="rId1081"/>
    <hyperlink xmlns:r="http://schemas.openxmlformats.org/officeDocument/2006/relationships" ref="W1083" r:id="rId1082"/>
    <hyperlink xmlns:r="http://schemas.openxmlformats.org/officeDocument/2006/relationships" ref="W1084" r:id="rId1083"/>
    <hyperlink xmlns:r="http://schemas.openxmlformats.org/officeDocument/2006/relationships" ref="W1085" r:id="rId1084"/>
    <hyperlink xmlns:r="http://schemas.openxmlformats.org/officeDocument/2006/relationships" ref="W1086" r:id="rId1085"/>
    <hyperlink xmlns:r="http://schemas.openxmlformats.org/officeDocument/2006/relationships" ref="W1087" r:id="rId1086"/>
    <hyperlink xmlns:r="http://schemas.openxmlformats.org/officeDocument/2006/relationships" ref="W1088" r:id="rId1087"/>
    <hyperlink xmlns:r="http://schemas.openxmlformats.org/officeDocument/2006/relationships" ref="W1089" r:id="rId1088"/>
    <hyperlink xmlns:r="http://schemas.openxmlformats.org/officeDocument/2006/relationships" ref="W1090" r:id="rId1089"/>
    <hyperlink xmlns:r="http://schemas.openxmlformats.org/officeDocument/2006/relationships" ref="W1091" r:id="rId1090"/>
    <hyperlink xmlns:r="http://schemas.openxmlformats.org/officeDocument/2006/relationships" ref="W1092" r:id="rId1091"/>
    <hyperlink xmlns:r="http://schemas.openxmlformats.org/officeDocument/2006/relationships" ref="W1093" r:id="rId1092"/>
    <hyperlink xmlns:r="http://schemas.openxmlformats.org/officeDocument/2006/relationships" ref="W1094" r:id="rId1093"/>
    <hyperlink xmlns:r="http://schemas.openxmlformats.org/officeDocument/2006/relationships" ref="W1095" r:id="rId1094"/>
    <hyperlink xmlns:r="http://schemas.openxmlformats.org/officeDocument/2006/relationships" ref="W1096" r:id="rId1095"/>
    <hyperlink xmlns:r="http://schemas.openxmlformats.org/officeDocument/2006/relationships" ref="W1097" r:id="rId1096"/>
    <hyperlink xmlns:r="http://schemas.openxmlformats.org/officeDocument/2006/relationships" ref="W1098" r:id="rId1097"/>
    <hyperlink xmlns:r="http://schemas.openxmlformats.org/officeDocument/2006/relationships" ref="W1099" r:id="rId1098"/>
    <hyperlink xmlns:r="http://schemas.openxmlformats.org/officeDocument/2006/relationships" ref="W1100" r:id="rId1099"/>
    <hyperlink xmlns:r="http://schemas.openxmlformats.org/officeDocument/2006/relationships" ref="W1101" r:id="rId1100"/>
    <hyperlink xmlns:r="http://schemas.openxmlformats.org/officeDocument/2006/relationships" ref="W1102" r:id="rId1101"/>
    <hyperlink xmlns:r="http://schemas.openxmlformats.org/officeDocument/2006/relationships" ref="W1103" r:id="rId1102"/>
    <hyperlink xmlns:r="http://schemas.openxmlformats.org/officeDocument/2006/relationships" ref="W1104" r:id="rId1103"/>
    <hyperlink xmlns:r="http://schemas.openxmlformats.org/officeDocument/2006/relationships" ref="W1105" r:id="rId1104"/>
    <hyperlink xmlns:r="http://schemas.openxmlformats.org/officeDocument/2006/relationships" ref="W1106" r:id="rId1105"/>
    <hyperlink xmlns:r="http://schemas.openxmlformats.org/officeDocument/2006/relationships" ref="W1107" r:id="rId1106"/>
    <hyperlink xmlns:r="http://schemas.openxmlformats.org/officeDocument/2006/relationships" ref="W1108" r:id="rId1107"/>
    <hyperlink xmlns:r="http://schemas.openxmlformats.org/officeDocument/2006/relationships" ref="W1109" r:id="rId1108"/>
    <hyperlink xmlns:r="http://schemas.openxmlformats.org/officeDocument/2006/relationships" ref="W1110" r:id="rId1109"/>
    <hyperlink xmlns:r="http://schemas.openxmlformats.org/officeDocument/2006/relationships" ref="W1111" r:id="rId1110"/>
    <hyperlink xmlns:r="http://schemas.openxmlformats.org/officeDocument/2006/relationships" ref="W1112" r:id="rId1111"/>
    <hyperlink xmlns:r="http://schemas.openxmlformats.org/officeDocument/2006/relationships" ref="W1113" r:id="rId1112"/>
    <hyperlink xmlns:r="http://schemas.openxmlformats.org/officeDocument/2006/relationships" ref="W1114" r:id="rId1113"/>
    <hyperlink xmlns:r="http://schemas.openxmlformats.org/officeDocument/2006/relationships" ref="W1115" r:id="rId1114"/>
    <hyperlink xmlns:r="http://schemas.openxmlformats.org/officeDocument/2006/relationships" ref="W1116" r:id="rId1115"/>
    <hyperlink xmlns:r="http://schemas.openxmlformats.org/officeDocument/2006/relationships" ref="W1117" r:id="rId1116"/>
    <hyperlink xmlns:r="http://schemas.openxmlformats.org/officeDocument/2006/relationships" ref="W1118" r:id="rId1117"/>
    <hyperlink xmlns:r="http://schemas.openxmlformats.org/officeDocument/2006/relationships" ref="W1119" r:id="rId1118"/>
    <hyperlink xmlns:r="http://schemas.openxmlformats.org/officeDocument/2006/relationships" ref="W1120" r:id="rId1119"/>
    <hyperlink xmlns:r="http://schemas.openxmlformats.org/officeDocument/2006/relationships" ref="W1121" r:id="rId1120"/>
    <hyperlink xmlns:r="http://schemas.openxmlformats.org/officeDocument/2006/relationships" ref="W1122" r:id="rId1121"/>
    <hyperlink xmlns:r="http://schemas.openxmlformats.org/officeDocument/2006/relationships" ref="W1123" r:id="rId1122"/>
    <hyperlink xmlns:r="http://schemas.openxmlformats.org/officeDocument/2006/relationships" ref="W1124" r:id="rId1123"/>
    <hyperlink xmlns:r="http://schemas.openxmlformats.org/officeDocument/2006/relationships" ref="W1125" r:id="rId1124"/>
    <hyperlink xmlns:r="http://schemas.openxmlformats.org/officeDocument/2006/relationships" ref="W1126" r:id="rId1125"/>
    <hyperlink xmlns:r="http://schemas.openxmlformats.org/officeDocument/2006/relationships" ref="W1127" r:id="rId1126"/>
    <hyperlink xmlns:r="http://schemas.openxmlformats.org/officeDocument/2006/relationships" ref="W1128" r:id="rId1127"/>
    <hyperlink xmlns:r="http://schemas.openxmlformats.org/officeDocument/2006/relationships" ref="W1129" r:id="rId1128"/>
    <hyperlink xmlns:r="http://schemas.openxmlformats.org/officeDocument/2006/relationships" ref="W1130" r:id="rId1129"/>
    <hyperlink xmlns:r="http://schemas.openxmlformats.org/officeDocument/2006/relationships" ref="W1131" r:id="rId1130"/>
    <hyperlink xmlns:r="http://schemas.openxmlformats.org/officeDocument/2006/relationships" ref="W1132" r:id="rId1131"/>
    <hyperlink xmlns:r="http://schemas.openxmlformats.org/officeDocument/2006/relationships" ref="W1133" r:id="rId1132"/>
    <hyperlink xmlns:r="http://schemas.openxmlformats.org/officeDocument/2006/relationships" ref="W1134" r:id="rId1133"/>
    <hyperlink xmlns:r="http://schemas.openxmlformats.org/officeDocument/2006/relationships" ref="W1135" r:id="rId1134"/>
    <hyperlink xmlns:r="http://schemas.openxmlformats.org/officeDocument/2006/relationships" ref="W1136" r:id="rId1135"/>
    <hyperlink xmlns:r="http://schemas.openxmlformats.org/officeDocument/2006/relationships" ref="W1137" r:id="rId1136"/>
    <hyperlink xmlns:r="http://schemas.openxmlformats.org/officeDocument/2006/relationships" ref="W1138" r:id="rId1137"/>
    <hyperlink xmlns:r="http://schemas.openxmlformats.org/officeDocument/2006/relationships" ref="W1139" r:id="rId1138"/>
    <hyperlink xmlns:r="http://schemas.openxmlformats.org/officeDocument/2006/relationships" ref="W1140" r:id="rId1139"/>
    <hyperlink xmlns:r="http://schemas.openxmlformats.org/officeDocument/2006/relationships" ref="W1141" r:id="rId1140"/>
    <hyperlink xmlns:r="http://schemas.openxmlformats.org/officeDocument/2006/relationships" ref="W1142" r:id="rId1141"/>
    <hyperlink xmlns:r="http://schemas.openxmlformats.org/officeDocument/2006/relationships" ref="W1143" r:id="rId1142"/>
    <hyperlink xmlns:r="http://schemas.openxmlformats.org/officeDocument/2006/relationships" ref="W1144" r:id="rId1143"/>
    <hyperlink xmlns:r="http://schemas.openxmlformats.org/officeDocument/2006/relationships" ref="W1145" r:id="rId1144"/>
    <hyperlink xmlns:r="http://schemas.openxmlformats.org/officeDocument/2006/relationships" ref="W1146" r:id="rId1145"/>
    <hyperlink xmlns:r="http://schemas.openxmlformats.org/officeDocument/2006/relationships" ref="W1147" r:id="rId1146"/>
    <hyperlink xmlns:r="http://schemas.openxmlformats.org/officeDocument/2006/relationships" ref="W1148" r:id="rId1147"/>
    <hyperlink xmlns:r="http://schemas.openxmlformats.org/officeDocument/2006/relationships" ref="W1149" r:id="rId1148"/>
    <hyperlink xmlns:r="http://schemas.openxmlformats.org/officeDocument/2006/relationships" ref="W1150" r:id="rId1149"/>
    <hyperlink xmlns:r="http://schemas.openxmlformats.org/officeDocument/2006/relationships" ref="W1151" r:id="rId1150"/>
    <hyperlink xmlns:r="http://schemas.openxmlformats.org/officeDocument/2006/relationships" ref="W1152" r:id="rId1151"/>
    <hyperlink xmlns:r="http://schemas.openxmlformats.org/officeDocument/2006/relationships" ref="W1153" r:id="rId1152"/>
    <hyperlink xmlns:r="http://schemas.openxmlformats.org/officeDocument/2006/relationships" ref="W1154" r:id="rId1153"/>
    <hyperlink xmlns:r="http://schemas.openxmlformats.org/officeDocument/2006/relationships" ref="W1155" r:id="rId1154"/>
    <hyperlink xmlns:r="http://schemas.openxmlformats.org/officeDocument/2006/relationships" ref="W1156" r:id="rId1155"/>
    <hyperlink xmlns:r="http://schemas.openxmlformats.org/officeDocument/2006/relationships" ref="W1157" r:id="rId1156"/>
    <hyperlink xmlns:r="http://schemas.openxmlformats.org/officeDocument/2006/relationships" ref="W1158" r:id="rId1157"/>
    <hyperlink xmlns:r="http://schemas.openxmlformats.org/officeDocument/2006/relationships" ref="W1159" r:id="rId1158"/>
    <hyperlink xmlns:r="http://schemas.openxmlformats.org/officeDocument/2006/relationships" ref="W1160" r:id="rId1159"/>
    <hyperlink xmlns:r="http://schemas.openxmlformats.org/officeDocument/2006/relationships" ref="W1161" r:id="rId1160"/>
    <hyperlink xmlns:r="http://schemas.openxmlformats.org/officeDocument/2006/relationships" ref="W1162" r:id="rId1161"/>
    <hyperlink xmlns:r="http://schemas.openxmlformats.org/officeDocument/2006/relationships" ref="W1163" r:id="rId1162"/>
    <hyperlink xmlns:r="http://schemas.openxmlformats.org/officeDocument/2006/relationships" ref="W1164" r:id="rId1163"/>
    <hyperlink xmlns:r="http://schemas.openxmlformats.org/officeDocument/2006/relationships" ref="W1165" r:id="rId1164"/>
    <hyperlink xmlns:r="http://schemas.openxmlformats.org/officeDocument/2006/relationships" ref="W1166" r:id="rId1165"/>
    <hyperlink xmlns:r="http://schemas.openxmlformats.org/officeDocument/2006/relationships" ref="W1167" r:id="rId1166"/>
    <hyperlink xmlns:r="http://schemas.openxmlformats.org/officeDocument/2006/relationships" ref="W1168" r:id="rId1167"/>
    <hyperlink xmlns:r="http://schemas.openxmlformats.org/officeDocument/2006/relationships" ref="W1169" r:id="rId1168"/>
    <hyperlink xmlns:r="http://schemas.openxmlformats.org/officeDocument/2006/relationships" ref="W1170" r:id="rId1169"/>
    <hyperlink xmlns:r="http://schemas.openxmlformats.org/officeDocument/2006/relationships" ref="W1171" r:id="rId1170"/>
    <hyperlink xmlns:r="http://schemas.openxmlformats.org/officeDocument/2006/relationships" ref="W1172" r:id="rId1171"/>
    <hyperlink xmlns:r="http://schemas.openxmlformats.org/officeDocument/2006/relationships" ref="W1173" r:id="rId1172"/>
    <hyperlink xmlns:r="http://schemas.openxmlformats.org/officeDocument/2006/relationships" ref="W1174" r:id="rId1173"/>
    <hyperlink xmlns:r="http://schemas.openxmlformats.org/officeDocument/2006/relationships" ref="W1175" r:id="rId1174"/>
    <hyperlink xmlns:r="http://schemas.openxmlformats.org/officeDocument/2006/relationships" ref="W1176" r:id="rId1175"/>
    <hyperlink xmlns:r="http://schemas.openxmlformats.org/officeDocument/2006/relationships" ref="W1177" r:id="rId1176"/>
    <hyperlink xmlns:r="http://schemas.openxmlformats.org/officeDocument/2006/relationships" ref="W1178" r:id="rId1177"/>
    <hyperlink xmlns:r="http://schemas.openxmlformats.org/officeDocument/2006/relationships" ref="W1179" r:id="rId1178"/>
    <hyperlink xmlns:r="http://schemas.openxmlformats.org/officeDocument/2006/relationships" ref="W1180" r:id="rId1179"/>
    <hyperlink xmlns:r="http://schemas.openxmlformats.org/officeDocument/2006/relationships" ref="W1181" r:id="rId1180"/>
    <hyperlink xmlns:r="http://schemas.openxmlformats.org/officeDocument/2006/relationships" ref="W1182" r:id="rId1181"/>
    <hyperlink xmlns:r="http://schemas.openxmlformats.org/officeDocument/2006/relationships" ref="W1183" r:id="rId1182"/>
    <hyperlink xmlns:r="http://schemas.openxmlformats.org/officeDocument/2006/relationships" ref="W1184" r:id="rId1183"/>
    <hyperlink xmlns:r="http://schemas.openxmlformats.org/officeDocument/2006/relationships" ref="W1185" r:id="rId1184"/>
    <hyperlink xmlns:r="http://schemas.openxmlformats.org/officeDocument/2006/relationships" ref="W1186" r:id="rId1185"/>
    <hyperlink xmlns:r="http://schemas.openxmlformats.org/officeDocument/2006/relationships" ref="W1187" r:id="rId1186"/>
    <hyperlink xmlns:r="http://schemas.openxmlformats.org/officeDocument/2006/relationships" ref="W1188" r:id="rId1187"/>
    <hyperlink xmlns:r="http://schemas.openxmlformats.org/officeDocument/2006/relationships" ref="W1189" r:id="rId1188"/>
    <hyperlink xmlns:r="http://schemas.openxmlformats.org/officeDocument/2006/relationships" ref="W1190" r:id="rId1189"/>
    <hyperlink xmlns:r="http://schemas.openxmlformats.org/officeDocument/2006/relationships" ref="W1191" r:id="rId1190"/>
    <hyperlink xmlns:r="http://schemas.openxmlformats.org/officeDocument/2006/relationships" ref="W1192" r:id="rId1191"/>
    <hyperlink xmlns:r="http://schemas.openxmlformats.org/officeDocument/2006/relationships" ref="W1193" r:id="rId1192"/>
    <hyperlink xmlns:r="http://schemas.openxmlformats.org/officeDocument/2006/relationships" ref="W1194" r:id="rId1193"/>
    <hyperlink xmlns:r="http://schemas.openxmlformats.org/officeDocument/2006/relationships" ref="W1195" r:id="rId1194"/>
    <hyperlink xmlns:r="http://schemas.openxmlformats.org/officeDocument/2006/relationships" ref="W1196" r:id="rId1195"/>
    <hyperlink xmlns:r="http://schemas.openxmlformats.org/officeDocument/2006/relationships" ref="W1197" r:id="rId1196"/>
    <hyperlink xmlns:r="http://schemas.openxmlformats.org/officeDocument/2006/relationships" ref="W1198" r:id="rId1197"/>
    <hyperlink xmlns:r="http://schemas.openxmlformats.org/officeDocument/2006/relationships" ref="W1199" r:id="rId1198"/>
    <hyperlink xmlns:r="http://schemas.openxmlformats.org/officeDocument/2006/relationships" ref="W1200" r:id="rId1199"/>
    <hyperlink xmlns:r="http://schemas.openxmlformats.org/officeDocument/2006/relationships" ref="W1201" r:id="rId1200"/>
    <hyperlink xmlns:r="http://schemas.openxmlformats.org/officeDocument/2006/relationships" ref="W1202" r:id="rId1201"/>
    <hyperlink xmlns:r="http://schemas.openxmlformats.org/officeDocument/2006/relationships" ref="W1203" r:id="rId1202"/>
    <hyperlink xmlns:r="http://schemas.openxmlformats.org/officeDocument/2006/relationships" ref="W1204" r:id="rId1203"/>
    <hyperlink xmlns:r="http://schemas.openxmlformats.org/officeDocument/2006/relationships" ref="W1205" r:id="rId1204"/>
    <hyperlink xmlns:r="http://schemas.openxmlformats.org/officeDocument/2006/relationships" ref="W1206" r:id="rId1205"/>
    <hyperlink xmlns:r="http://schemas.openxmlformats.org/officeDocument/2006/relationships" ref="W1207" r:id="rId1206"/>
    <hyperlink xmlns:r="http://schemas.openxmlformats.org/officeDocument/2006/relationships" ref="W1208" r:id="rId1207"/>
    <hyperlink xmlns:r="http://schemas.openxmlformats.org/officeDocument/2006/relationships" ref="W1209" r:id="rId1208"/>
    <hyperlink xmlns:r="http://schemas.openxmlformats.org/officeDocument/2006/relationships" ref="W1210" r:id="rId1209"/>
    <hyperlink xmlns:r="http://schemas.openxmlformats.org/officeDocument/2006/relationships" ref="W1211" r:id="rId1210"/>
    <hyperlink xmlns:r="http://schemas.openxmlformats.org/officeDocument/2006/relationships" ref="W1212" r:id="rId1211"/>
    <hyperlink xmlns:r="http://schemas.openxmlformats.org/officeDocument/2006/relationships" ref="W1213" r:id="rId1212"/>
    <hyperlink xmlns:r="http://schemas.openxmlformats.org/officeDocument/2006/relationships" ref="W1214" r:id="rId1213"/>
    <hyperlink xmlns:r="http://schemas.openxmlformats.org/officeDocument/2006/relationships" ref="W1215" r:id="rId1214"/>
    <hyperlink xmlns:r="http://schemas.openxmlformats.org/officeDocument/2006/relationships" ref="W1216" r:id="rId1215"/>
    <hyperlink xmlns:r="http://schemas.openxmlformats.org/officeDocument/2006/relationships" ref="W1217" r:id="rId1216"/>
    <hyperlink xmlns:r="http://schemas.openxmlformats.org/officeDocument/2006/relationships" ref="W1218" r:id="rId1217"/>
    <hyperlink xmlns:r="http://schemas.openxmlformats.org/officeDocument/2006/relationships" ref="W1219" r:id="rId1218"/>
    <hyperlink xmlns:r="http://schemas.openxmlformats.org/officeDocument/2006/relationships" ref="W1220" r:id="rId1219"/>
    <hyperlink xmlns:r="http://schemas.openxmlformats.org/officeDocument/2006/relationships" ref="W1221" r:id="rId1220"/>
    <hyperlink xmlns:r="http://schemas.openxmlformats.org/officeDocument/2006/relationships" ref="W1222" r:id="rId1221"/>
    <hyperlink xmlns:r="http://schemas.openxmlformats.org/officeDocument/2006/relationships" ref="W1223" r:id="rId1222"/>
    <hyperlink xmlns:r="http://schemas.openxmlformats.org/officeDocument/2006/relationships" ref="W1224" r:id="rId1223"/>
    <hyperlink xmlns:r="http://schemas.openxmlformats.org/officeDocument/2006/relationships" ref="W1225" r:id="rId1224"/>
    <hyperlink xmlns:r="http://schemas.openxmlformats.org/officeDocument/2006/relationships" ref="W1226" r:id="rId1225"/>
    <hyperlink xmlns:r="http://schemas.openxmlformats.org/officeDocument/2006/relationships" ref="W1227" r:id="rId1226"/>
    <hyperlink xmlns:r="http://schemas.openxmlformats.org/officeDocument/2006/relationships" ref="W1228" r:id="rId1227"/>
    <hyperlink xmlns:r="http://schemas.openxmlformats.org/officeDocument/2006/relationships" ref="W1229" r:id="rId1228"/>
    <hyperlink xmlns:r="http://schemas.openxmlformats.org/officeDocument/2006/relationships" ref="W1230" r:id="rId1229"/>
    <hyperlink xmlns:r="http://schemas.openxmlformats.org/officeDocument/2006/relationships" ref="W1231" r:id="rId1230"/>
    <hyperlink xmlns:r="http://schemas.openxmlformats.org/officeDocument/2006/relationships" ref="W1232" r:id="rId1231"/>
    <hyperlink xmlns:r="http://schemas.openxmlformats.org/officeDocument/2006/relationships" ref="W1233" r:id="rId1232"/>
    <hyperlink xmlns:r="http://schemas.openxmlformats.org/officeDocument/2006/relationships" ref="W1234" r:id="rId1233"/>
    <hyperlink xmlns:r="http://schemas.openxmlformats.org/officeDocument/2006/relationships" ref="W1235" r:id="rId1234"/>
    <hyperlink xmlns:r="http://schemas.openxmlformats.org/officeDocument/2006/relationships" ref="W1236" r:id="rId1235"/>
    <hyperlink xmlns:r="http://schemas.openxmlformats.org/officeDocument/2006/relationships" ref="W1237" r:id="rId1236"/>
    <hyperlink xmlns:r="http://schemas.openxmlformats.org/officeDocument/2006/relationships" ref="W1238" r:id="rId1237"/>
    <hyperlink xmlns:r="http://schemas.openxmlformats.org/officeDocument/2006/relationships" ref="W1239" r:id="rId1238"/>
    <hyperlink xmlns:r="http://schemas.openxmlformats.org/officeDocument/2006/relationships" ref="W1240" r:id="rId1239"/>
    <hyperlink xmlns:r="http://schemas.openxmlformats.org/officeDocument/2006/relationships" ref="W1241" r:id="rId1240"/>
    <hyperlink xmlns:r="http://schemas.openxmlformats.org/officeDocument/2006/relationships" ref="W1242" r:id="rId1241"/>
    <hyperlink xmlns:r="http://schemas.openxmlformats.org/officeDocument/2006/relationships" ref="W1243" r:id="rId1242"/>
    <hyperlink xmlns:r="http://schemas.openxmlformats.org/officeDocument/2006/relationships" ref="W1244" r:id="rId1243"/>
    <hyperlink xmlns:r="http://schemas.openxmlformats.org/officeDocument/2006/relationships" ref="W1245" r:id="rId1244"/>
    <hyperlink xmlns:r="http://schemas.openxmlformats.org/officeDocument/2006/relationships" ref="W1246" r:id="rId1245"/>
    <hyperlink xmlns:r="http://schemas.openxmlformats.org/officeDocument/2006/relationships" ref="W1247" r:id="rId1246"/>
    <hyperlink xmlns:r="http://schemas.openxmlformats.org/officeDocument/2006/relationships" ref="W1248" r:id="rId1247"/>
    <hyperlink xmlns:r="http://schemas.openxmlformats.org/officeDocument/2006/relationships" ref="W1249" r:id="rId1248"/>
    <hyperlink xmlns:r="http://schemas.openxmlformats.org/officeDocument/2006/relationships" ref="W1250" r:id="rId1249"/>
    <hyperlink xmlns:r="http://schemas.openxmlformats.org/officeDocument/2006/relationships" ref="W1251" r:id="rId1250"/>
    <hyperlink xmlns:r="http://schemas.openxmlformats.org/officeDocument/2006/relationships" ref="W1252" r:id="rId1251"/>
    <hyperlink xmlns:r="http://schemas.openxmlformats.org/officeDocument/2006/relationships" ref="W1253" r:id="rId1252"/>
    <hyperlink xmlns:r="http://schemas.openxmlformats.org/officeDocument/2006/relationships" ref="W1254" r:id="rId1253"/>
    <hyperlink xmlns:r="http://schemas.openxmlformats.org/officeDocument/2006/relationships" ref="W1255" r:id="rId1254"/>
    <hyperlink xmlns:r="http://schemas.openxmlformats.org/officeDocument/2006/relationships" ref="W1256" r:id="rId1255"/>
    <hyperlink xmlns:r="http://schemas.openxmlformats.org/officeDocument/2006/relationships" ref="W1257" r:id="rId1256"/>
    <hyperlink xmlns:r="http://schemas.openxmlformats.org/officeDocument/2006/relationships" ref="W1258" r:id="rId1257"/>
    <hyperlink xmlns:r="http://schemas.openxmlformats.org/officeDocument/2006/relationships" ref="W1259" r:id="rId1258"/>
    <hyperlink xmlns:r="http://schemas.openxmlformats.org/officeDocument/2006/relationships" ref="W1260" r:id="rId1259"/>
    <hyperlink xmlns:r="http://schemas.openxmlformats.org/officeDocument/2006/relationships" ref="W1261" r:id="rId1260"/>
    <hyperlink xmlns:r="http://schemas.openxmlformats.org/officeDocument/2006/relationships" ref="W1262" r:id="rId1261"/>
    <hyperlink xmlns:r="http://schemas.openxmlformats.org/officeDocument/2006/relationships" ref="W1263" r:id="rId1262"/>
    <hyperlink xmlns:r="http://schemas.openxmlformats.org/officeDocument/2006/relationships" ref="W1264" r:id="rId1263"/>
    <hyperlink xmlns:r="http://schemas.openxmlformats.org/officeDocument/2006/relationships" ref="W1265" r:id="rId1264"/>
    <hyperlink xmlns:r="http://schemas.openxmlformats.org/officeDocument/2006/relationships" ref="W1266" r:id="rId1265"/>
    <hyperlink xmlns:r="http://schemas.openxmlformats.org/officeDocument/2006/relationships" ref="W1267" r:id="rId1266"/>
    <hyperlink xmlns:r="http://schemas.openxmlformats.org/officeDocument/2006/relationships" ref="W1268" r:id="rId1267"/>
    <hyperlink xmlns:r="http://schemas.openxmlformats.org/officeDocument/2006/relationships" ref="W1269" r:id="rId1268"/>
    <hyperlink xmlns:r="http://schemas.openxmlformats.org/officeDocument/2006/relationships" ref="W1270" r:id="rId1269"/>
    <hyperlink xmlns:r="http://schemas.openxmlformats.org/officeDocument/2006/relationships" ref="W1271" r:id="rId1270"/>
    <hyperlink xmlns:r="http://schemas.openxmlformats.org/officeDocument/2006/relationships" ref="W1272" r:id="rId1271"/>
    <hyperlink xmlns:r="http://schemas.openxmlformats.org/officeDocument/2006/relationships" ref="W1273" r:id="rId1272"/>
    <hyperlink xmlns:r="http://schemas.openxmlformats.org/officeDocument/2006/relationships" ref="W1274" r:id="rId1273"/>
    <hyperlink xmlns:r="http://schemas.openxmlformats.org/officeDocument/2006/relationships" ref="W1275" r:id="rId1274"/>
    <hyperlink xmlns:r="http://schemas.openxmlformats.org/officeDocument/2006/relationships" ref="W1276" r:id="rId1275"/>
    <hyperlink xmlns:r="http://schemas.openxmlformats.org/officeDocument/2006/relationships" ref="W1277" r:id="rId1276"/>
    <hyperlink xmlns:r="http://schemas.openxmlformats.org/officeDocument/2006/relationships" ref="W1278" r:id="rId1277"/>
    <hyperlink xmlns:r="http://schemas.openxmlformats.org/officeDocument/2006/relationships" ref="W1279" r:id="rId1278"/>
    <hyperlink xmlns:r="http://schemas.openxmlformats.org/officeDocument/2006/relationships" ref="W1280" r:id="rId1279"/>
    <hyperlink xmlns:r="http://schemas.openxmlformats.org/officeDocument/2006/relationships" ref="W1281" r:id="rId1280"/>
    <hyperlink xmlns:r="http://schemas.openxmlformats.org/officeDocument/2006/relationships" ref="W1282" r:id="rId1281"/>
    <hyperlink xmlns:r="http://schemas.openxmlformats.org/officeDocument/2006/relationships" ref="W1283" r:id="rId1282"/>
    <hyperlink xmlns:r="http://schemas.openxmlformats.org/officeDocument/2006/relationships" ref="W1284" r:id="rId1283"/>
    <hyperlink xmlns:r="http://schemas.openxmlformats.org/officeDocument/2006/relationships" ref="W1285" r:id="rId1284"/>
    <hyperlink xmlns:r="http://schemas.openxmlformats.org/officeDocument/2006/relationships" ref="W1286" r:id="rId1285"/>
    <hyperlink xmlns:r="http://schemas.openxmlformats.org/officeDocument/2006/relationships" ref="W1287" r:id="rId1286"/>
    <hyperlink xmlns:r="http://schemas.openxmlformats.org/officeDocument/2006/relationships" ref="W1288" r:id="rId1287"/>
    <hyperlink xmlns:r="http://schemas.openxmlformats.org/officeDocument/2006/relationships" ref="W1289" r:id="rId1288"/>
    <hyperlink xmlns:r="http://schemas.openxmlformats.org/officeDocument/2006/relationships" ref="W1290" r:id="rId1289"/>
    <hyperlink xmlns:r="http://schemas.openxmlformats.org/officeDocument/2006/relationships" ref="W1291" r:id="rId1290"/>
    <hyperlink xmlns:r="http://schemas.openxmlformats.org/officeDocument/2006/relationships" ref="W1292" r:id="rId1291"/>
    <hyperlink xmlns:r="http://schemas.openxmlformats.org/officeDocument/2006/relationships" ref="W1293" r:id="rId1292"/>
    <hyperlink xmlns:r="http://schemas.openxmlformats.org/officeDocument/2006/relationships" ref="W1294" r:id="rId1293"/>
    <hyperlink xmlns:r="http://schemas.openxmlformats.org/officeDocument/2006/relationships" ref="W1295" r:id="rId1294"/>
    <hyperlink xmlns:r="http://schemas.openxmlformats.org/officeDocument/2006/relationships" ref="W1296" r:id="rId1295"/>
    <hyperlink xmlns:r="http://schemas.openxmlformats.org/officeDocument/2006/relationships" ref="W1297" r:id="rId1296"/>
    <hyperlink xmlns:r="http://schemas.openxmlformats.org/officeDocument/2006/relationships" ref="W1298" r:id="rId1297"/>
    <hyperlink xmlns:r="http://schemas.openxmlformats.org/officeDocument/2006/relationships" ref="W1299" r:id="rId129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11" t="inlineStr">
        <is>
          <t>Indicateur</t>
        </is>
      </c>
      <c r="B1" s="11" t="inlineStr">
        <is>
          <t>Valeur</t>
        </is>
      </c>
    </row>
    <row r="2">
      <c r="A2" s="12" t="inlineStr">
        <is>
          <t>Source</t>
        </is>
      </c>
      <c r="B2" t="inlineStr">
        <is>
          <t>Yakeey.com</t>
        </is>
      </c>
    </row>
    <row r="3">
      <c r="A3" s="12" t="inlineStr">
        <is>
          <t>URL</t>
        </is>
      </c>
      <c r="B3" t="inlineStr">
        <is>
          <t>https://yakeey.com/fr-ma/achat/biens/casablanca</t>
        </is>
      </c>
    </row>
    <row r="4">
      <c r="A4" s="12" t="inlineStr">
        <is>
          <t>Annonces collectees</t>
        </is>
      </c>
      <c r="B4">
        <f>COUNTA(Annonces!A2:A1299)</f>
        <v/>
      </c>
    </row>
    <row r="5">
      <c r="A5" s="12" t="inlineStr">
        <is>
          <t>Prix moyen</t>
        </is>
      </c>
      <c r="B5" s="7">
        <f>AVERAGE(Annonces!E2:E1299)</f>
        <v/>
      </c>
    </row>
    <row r="6">
      <c r="A6" s="12" t="inlineStr">
        <is>
          <t>Prix median</t>
        </is>
      </c>
      <c r="B6" s="7">
        <f>MEDIAN(Annonces!E2:E1299)</f>
        <v/>
      </c>
    </row>
    <row r="7">
      <c r="A7" s="12" t="inlineStr">
        <is>
          <t>Prix min</t>
        </is>
      </c>
      <c r="B7" s="7">
        <f>MIN(Annonces!E2:E1299)</f>
        <v/>
      </c>
    </row>
    <row r="8">
      <c r="A8" s="12" t="inlineStr">
        <is>
          <t>Prix max</t>
        </is>
      </c>
      <c r="B8" s="7">
        <f>MAX(Annonces!E2:E1299)</f>
        <v/>
      </c>
    </row>
    <row r="9">
      <c r="A9" s="12" t="inlineStr">
        <is>
          <t>Surface moyenne</t>
        </is>
      </c>
      <c r="B9" s="13">
        <f>AVERAGE(Annonces!F2:F1299)</f>
        <v/>
      </c>
    </row>
    <row r="10">
      <c r="A10" s="12" t="inlineStr">
        <is>
          <t>Prix moyen au m2</t>
        </is>
      </c>
      <c r="B10" s="7">
        <f>AVERAGE(Annonces!I2:I1299)</f>
        <v/>
      </c>
    </row>
    <row r="11">
      <c r="A11" s="12" t="inlineStr">
        <is>
          <t>Nb quartiers couverts</t>
        </is>
      </c>
      <c r="B11">
        <f>SUMPRODUCT(1/COUNTIF(Annonces!C2:C1299,Annonces!C2:C1299))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8" customWidth="1" min="4" max="4"/>
    <col width="22" customWidth="1" min="5" max="5"/>
  </cols>
  <sheetData>
    <row r="1">
      <c r="A1" s="11" t="inlineStr">
        <is>
          <t>Quartier</t>
        </is>
      </c>
      <c r="B1" s="11" t="inlineStr">
        <is>
          <t>Nb annonces</t>
        </is>
      </c>
      <c r="C1" s="11" t="inlineStr">
        <is>
          <t>Prix moyen</t>
        </is>
      </c>
      <c r="D1" s="11" t="inlineStr">
        <is>
          <t>Surface moyenne</t>
        </is>
      </c>
      <c r="E1" s="11" t="inlineStr">
        <is>
          <t>Prix moyen au m2</t>
        </is>
      </c>
    </row>
    <row r="2">
      <c r="A2" t="inlineStr">
        <is>
          <t>Ain Borja</t>
        </is>
      </c>
      <c r="B2">
        <f>COUNTIF(Annonces!C2:C1299,A2)</f>
        <v/>
      </c>
      <c r="C2" s="7">
        <f>IFERROR(AVERAGEIF(Annonces!C2:C1299,A2,Annonces!E2:E1299),0)</f>
        <v/>
      </c>
      <c r="D2" s="13">
        <f>IFERROR(AVERAGEIF(Annonces!C2:C1299,A2,Annonces!F2:F1299),0)</f>
        <v/>
      </c>
      <c r="E2" s="14">
        <f>IFERROR(AVERAGEIF(Annonces!C2:C1299,A2,Annonces!I2:I1299),0)</f>
        <v/>
      </c>
    </row>
    <row r="3">
      <c r="A3" t="inlineStr">
        <is>
          <t>Ain Chock</t>
        </is>
      </c>
      <c r="B3">
        <f>COUNTIF(Annonces!C2:C1299,A3)</f>
        <v/>
      </c>
      <c r="C3" s="7">
        <f>IFERROR(AVERAGEIF(Annonces!C2:C1299,A3,Annonces!E2:E1299),0)</f>
        <v/>
      </c>
      <c r="D3" s="13">
        <f>IFERROR(AVERAGEIF(Annonces!C2:C1299,A3,Annonces!F2:F1299),0)</f>
        <v/>
      </c>
      <c r="E3" s="14">
        <f>IFERROR(AVERAGEIF(Annonces!C2:C1299,A3,Annonces!I2:I1299),0)</f>
        <v/>
      </c>
    </row>
    <row r="4">
      <c r="A4" t="inlineStr">
        <is>
          <t>Ain Diab</t>
        </is>
      </c>
      <c r="B4">
        <f>COUNTIF(Annonces!C2:C1299,A4)</f>
        <v/>
      </c>
      <c r="C4" s="7">
        <f>IFERROR(AVERAGEIF(Annonces!C2:C1299,A4,Annonces!E2:E1299),0)</f>
        <v/>
      </c>
      <c r="D4" s="13">
        <f>IFERROR(AVERAGEIF(Annonces!C2:C1299,A4,Annonces!F2:F1299),0)</f>
        <v/>
      </c>
      <c r="E4" s="14">
        <f>IFERROR(AVERAGEIF(Annonces!C2:C1299,A4,Annonces!I2:I1299),0)</f>
        <v/>
      </c>
    </row>
    <row r="5">
      <c r="A5" t="inlineStr">
        <is>
          <t>Ain Diab Extension 2</t>
        </is>
      </c>
      <c r="B5">
        <f>COUNTIF(Annonces!C2:C1299,A5)</f>
        <v/>
      </c>
      <c r="C5" s="7">
        <f>IFERROR(AVERAGEIF(Annonces!C2:C1299,A5,Annonces!E2:E1299),0)</f>
        <v/>
      </c>
      <c r="D5" s="13">
        <f>IFERROR(AVERAGEIF(Annonces!C2:C1299,A5,Annonces!F2:F1299),0)</f>
        <v/>
      </c>
      <c r="E5" s="14">
        <f>IFERROR(AVERAGEIF(Annonces!C2:C1299,A5,Annonces!I2:I1299),0)</f>
        <v/>
      </c>
    </row>
    <row r="6">
      <c r="A6" t="inlineStr">
        <is>
          <t>Ain Sebaa</t>
        </is>
      </c>
      <c r="B6">
        <f>COUNTIF(Annonces!C2:C1299,A6)</f>
        <v/>
      </c>
      <c r="C6" s="7">
        <f>IFERROR(AVERAGEIF(Annonces!C2:C1299,A6,Annonces!E2:E1299),0)</f>
        <v/>
      </c>
      <c r="D6" s="13">
        <f>IFERROR(AVERAGEIF(Annonces!C2:C1299,A6,Annonces!F2:F1299),0)</f>
        <v/>
      </c>
      <c r="E6" s="14">
        <f>IFERROR(AVERAGEIF(Annonces!C2:C1299,A6,Annonces!I2:I1299),0)</f>
        <v/>
      </c>
    </row>
    <row r="7">
      <c r="A7" t="inlineStr">
        <is>
          <t>Al Azhar</t>
        </is>
      </c>
      <c r="B7">
        <f>COUNTIF(Annonces!C2:C1299,A7)</f>
        <v/>
      </c>
      <c r="C7" s="7">
        <f>IFERROR(AVERAGEIF(Annonces!C2:C1299,A7,Annonces!E2:E1299),0)</f>
        <v/>
      </c>
      <c r="D7" s="13">
        <f>IFERROR(AVERAGEIF(Annonces!C2:C1299,A7,Annonces!F2:F1299),0)</f>
        <v/>
      </c>
      <c r="E7" s="14">
        <f>IFERROR(AVERAGEIF(Annonces!C2:C1299,A7,Annonces!I2:I1299),0)</f>
        <v/>
      </c>
    </row>
    <row r="8">
      <c r="A8" t="inlineStr">
        <is>
          <t>Al Osra</t>
        </is>
      </c>
      <c r="B8">
        <f>COUNTIF(Annonces!C2:C1299,A8)</f>
        <v/>
      </c>
      <c r="C8" s="7">
        <f>IFERROR(AVERAGEIF(Annonces!C2:C1299,A8,Annonces!E2:E1299),0)</f>
        <v/>
      </c>
      <c r="D8" s="13">
        <f>IFERROR(AVERAGEIF(Annonces!C2:C1299,A8,Annonces!F2:F1299),0)</f>
        <v/>
      </c>
      <c r="E8" s="14">
        <f>IFERROR(AVERAGEIF(Annonces!C2:C1299,A8,Annonces!I2:I1299),0)</f>
        <v/>
      </c>
    </row>
    <row r="9">
      <c r="A9" t="inlineStr">
        <is>
          <t>Almaz (Hay Hassani)</t>
        </is>
      </c>
      <c r="B9">
        <f>COUNTIF(Annonces!C2:C1299,A9)</f>
        <v/>
      </c>
      <c r="C9" s="7">
        <f>IFERROR(AVERAGEIF(Annonces!C2:C1299,A9,Annonces!E2:E1299),0)</f>
        <v/>
      </c>
      <c r="D9" s="13">
        <f>IFERROR(AVERAGEIF(Annonces!C2:C1299,A9,Annonces!F2:F1299),0)</f>
        <v/>
      </c>
      <c r="E9" s="14">
        <f>IFERROR(AVERAGEIF(Annonces!C2:C1299,A9,Annonces!I2:I1299),0)</f>
        <v/>
      </c>
    </row>
    <row r="10">
      <c r="A10" t="inlineStr">
        <is>
          <t>Almostakbal</t>
        </is>
      </c>
      <c r="B10">
        <f>COUNTIF(Annonces!C2:C1299,A10)</f>
        <v/>
      </c>
      <c r="C10" s="7">
        <f>IFERROR(AVERAGEIF(Annonces!C2:C1299,A10,Annonces!E2:E1299),0)</f>
        <v/>
      </c>
      <c r="D10" s="13">
        <f>IFERROR(AVERAGEIF(Annonces!C2:C1299,A10,Annonces!F2:F1299),0)</f>
        <v/>
      </c>
      <c r="E10" s="14">
        <f>IFERROR(AVERAGEIF(Annonces!C2:C1299,A10,Annonces!I2:I1299),0)</f>
        <v/>
      </c>
    </row>
    <row r="11">
      <c r="A11" t="inlineStr">
        <is>
          <t>Alsace Loraine</t>
        </is>
      </c>
      <c r="B11">
        <f>COUNTIF(Annonces!C2:C1299,A11)</f>
        <v/>
      </c>
      <c r="C11" s="7">
        <f>IFERROR(AVERAGEIF(Annonces!C2:C1299,A11,Annonces!E2:E1299),0)</f>
        <v/>
      </c>
      <c r="D11" s="13">
        <f>IFERROR(AVERAGEIF(Annonces!C2:C1299,A11,Annonces!F2:F1299),0)</f>
        <v/>
      </c>
      <c r="E11" s="14">
        <f>IFERROR(AVERAGEIF(Annonces!C2:C1299,A11,Annonces!I2:I1299),0)</f>
        <v/>
      </c>
    </row>
    <row r="12">
      <c r="A12" t="inlineStr">
        <is>
          <t>Anassi</t>
        </is>
      </c>
      <c r="B12">
        <f>COUNTIF(Annonces!C2:C1299,A12)</f>
        <v/>
      </c>
      <c r="C12" s="7">
        <f>IFERROR(AVERAGEIF(Annonces!C2:C1299,A12,Annonces!E2:E1299),0)</f>
        <v/>
      </c>
      <c r="D12" s="13">
        <f>IFERROR(AVERAGEIF(Annonces!C2:C1299,A12,Annonces!F2:F1299),0)</f>
        <v/>
      </c>
      <c r="E12" s="14">
        <f>IFERROR(AVERAGEIF(Annonces!C2:C1299,A12,Annonces!I2:I1299),0)</f>
        <v/>
      </c>
    </row>
    <row r="13">
      <c r="A13" t="inlineStr">
        <is>
          <t>Ancienne Medina</t>
        </is>
      </c>
      <c r="B13">
        <f>COUNTIF(Annonces!C2:C1299,A13)</f>
        <v/>
      </c>
      <c r="C13" s="7">
        <f>IFERROR(AVERAGEIF(Annonces!C2:C1299,A13,Annonces!E2:E1299),0)</f>
        <v/>
      </c>
      <c r="D13" s="13">
        <f>IFERROR(AVERAGEIF(Annonces!C2:C1299,A13,Annonces!F2:F1299),0)</f>
        <v/>
      </c>
      <c r="E13" s="14">
        <f>IFERROR(AVERAGEIF(Annonces!C2:C1299,A13,Annonces!I2:I1299),0)</f>
        <v/>
      </c>
    </row>
    <row r="14">
      <c r="A14" t="inlineStr">
        <is>
          <t>Anfa Superieur</t>
        </is>
      </c>
      <c r="B14">
        <f>COUNTIF(Annonces!C2:C1299,A14)</f>
        <v/>
      </c>
      <c r="C14" s="7">
        <f>IFERROR(AVERAGEIF(Annonces!C2:C1299,A14,Annonces!E2:E1299),0)</f>
        <v/>
      </c>
      <c r="D14" s="13">
        <f>IFERROR(AVERAGEIF(Annonces!C2:C1299,A14,Annonces!F2:F1299),0)</f>
        <v/>
      </c>
      <c r="E14" s="14">
        <f>IFERROR(AVERAGEIF(Annonces!C2:C1299,A14,Annonces!I2:I1299),0)</f>
        <v/>
      </c>
    </row>
    <row r="15">
      <c r="A15" t="inlineStr">
        <is>
          <t>Aviateur</t>
        </is>
      </c>
      <c r="B15">
        <f>COUNTIF(Annonces!C2:C1299,A15)</f>
        <v/>
      </c>
      <c r="C15" s="7">
        <f>IFERROR(AVERAGEIF(Annonces!C2:C1299,A15,Annonces!E2:E1299),0)</f>
        <v/>
      </c>
      <c r="D15" s="13">
        <f>IFERROR(AVERAGEIF(Annonces!C2:C1299,A15,Annonces!F2:F1299),0)</f>
        <v/>
      </c>
      <c r="E15" s="14">
        <f>IFERROR(AVERAGEIF(Annonces!C2:C1299,A15,Annonces!I2:I1299),0)</f>
        <v/>
      </c>
    </row>
    <row r="16">
      <c r="A16" t="inlineStr">
        <is>
          <t>Azhar Oulfa</t>
        </is>
      </c>
      <c r="B16">
        <f>COUNTIF(Annonces!C2:C1299,A16)</f>
        <v/>
      </c>
      <c r="C16" s="7">
        <f>IFERROR(AVERAGEIF(Annonces!C2:C1299,A16,Annonces!E2:E1299),0)</f>
        <v/>
      </c>
      <c r="D16" s="13">
        <f>IFERROR(AVERAGEIF(Annonces!C2:C1299,A16,Annonces!F2:F1299),0)</f>
        <v/>
      </c>
      <c r="E16" s="14">
        <f>IFERROR(AVERAGEIF(Annonces!C2:C1299,A16,Annonces!I2:I1299),0)</f>
        <v/>
      </c>
    </row>
    <row r="17">
      <c r="A17" t="inlineStr">
        <is>
          <t>Azhar Oulfa 2</t>
        </is>
      </c>
      <c r="B17">
        <f>COUNTIF(Annonces!C2:C1299,A17)</f>
        <v/>
      </c>
      <c r="C17" s="7">
        <f>IFERROR(AVERAGEIF(Annonces!C2:C1299,A17,Annonces!E2:E1299),0)</f>
        <v/>
      </c>
      <c r="D17" s="13">
        <f>IFERROR(AVERAGEIF(Annonces!C2:C1299,A17,Annonces!F2:F1299),0)</f>
        <v/>
      </c>
      <c r="E17" s="14">
        <f>IFERROR(AVERAGEIF(Annonces!C2:C1299,A17,Annonces!I2:I1299),0)</f>
        <v/>
      </c>
    </row>
    <row r="18">
      <c r="A18" t="inlineStr">
        <is>
          <t>Bachkou</t>
        </is>
      </c>
      <c r="B18">
        <f>COUNTIF(Annonces!C2:C1299,A18)</f>
        <v/>
      </c>
      <c r="C18" s="7">
        <f>IFERROR(AVERAGEIF(Annonces!C2:C1299,A18,Annonces!E2:E1299),0)</f>
        <v/>
      </c>
      <c r="D18" s="13">
        <f>IFERROR(AVERAGEIF(Annonces!C2:C1299,A18,Annonces!F2:F1299),0)</f>
        <v/>
      </c>
      <c r="E18" s="14">
        <f>IFERROR(AVERAGEIF(Annonces!C2:C1299,A18,Annonces!I2:I1299),0)</f>
        <v/>
      </c>
    </row>
    <row r="19">
      <c r="A19" t="inlineStr">
        <is>
          <t>Beausejour</t>
        </is>
      </c>
      <c r="B19">
        <f>COUNTIF(Annonces!C2:C1299,A19)</f>
        <v/>
      </c>
      <c r="C19" s="7">
        <f>IFERROR(AVERAGEIF(Annonces!C2:C1299,A19,Annonces!E2:E1299),0)</f>
        <v/>
      </c>
      <c r="D19" s="13">
        <f>IFERROR(AVERAGEIF(Annonces!C2:C1299,A19,Annonces!F2:F1299),0)</f>
        <v/>
      </c>
      <c r="E19" s="14">
        <f>IFERROR(AVERAGEIF(Annonces!C2:C1299,A19,Annonces!I2:I1299),0)</f>
        <v/>
      </c>
    </row>
    <row r="20">
      <c r="A20" t="inlineStr">
        <is>
          <t>Beausite</t>
        </is>
      </c>
      <c r="B20">
        <f>COUNTIF(Annonces!C2:C1299,A20)</f>
        <v/>
      </c>
      <c r="C20" s="7">
        <f>IFERROR(AVERAGEIF(Annonces!C2:C1299,A20,Annonces!E2:E1299),0)</f>
        <v/>
      </c>
      <c r="D20" s="13">
        <f>IFERROR(AVERAGEIF(Annonces!C2:C1299,A20,Annonces!F2:F1299),0)</f>
        <v/>
      </c>
      <c r="E20" s="14">
        <f>IFERROR(AVERAGEIF(Annonces!C2:C1299,A20,Annonces!I2:I1299),0)</f>
        <v/>
      </c>
    </row>
    <row r="21">
      <c r="A21" t="inlineStr">
        <is>
          <t>Belvedere (Roches Noires)</t>
        </is>
      </c>
      <c r="B21">
        <f>COUNTIF(Annonces!C2:C1299,A21)</f>
        <v/>
      </c>
      <c r="C21" s="7">
        <f>IFERROR(AVERAGEIF(Annonces!C2:C1299,A21,Annonces!E2:E1299),0)</f>
        <v/>
      </c>
      <c r="D21" s="13">
        <f>IFERROR(AVERAGEIF(Annonces!C2:C1299,A21,Annonces!F2:F1299),0)</f>
        <v/>
      </c>
      <c r="E21" s="14">
        <f>IFERROR(AVERAGEIF(Annonces!C2:C1299,A21,Annonces!I2:I1299),0)</f>
        <v/>
      </c>
    </row>
    <row r="22">
      <c r="A22" t="inlineStr">
        <is>
          <t>Belvedere (Sidi Belyout)</t>
        </is>
      </c>
      <c r="B22">
        <f>COUNTIF(Annonces!C2:C1299,A22)</f>
        <v/>
      </c>
      <c r="C22" s="7">
        <f>IFERROR(AVERAGEIF(Annonces!C2:C1299,A22,Annonces!E2:E1299),0)</f>
        <v/>
      </c>
      <c r="D22" s="13">
        <f>IFERROR(AVERAGEIF(Annonces!C2:C1299,A22,Annonces!F2:F1299),0)</f>
        <v/>
      </c>
      <c r="E22" s="14">
        <f>IFERROR(AVERAGEIF(Annonces!C2:C1299,A22,Annonces!I2:I1299),0)</f>
        <v/>
      </c>
    </row>
    <row r="23">
      <c r="A23" t="inlineStr">
        <is>
          <t>Benmsick</t>
        </is>
      </c>
      <c r="B23">
        <f>COUNTIF(Annonces!C2:C1299,A23)</f>
        <v/>
      </c>
      <c r="C23" s="7">
        <f>IFERROR(AVERAGEIF(Annonces!C2:C1299,A23,Annonces!E2:E1299),0)</f>
        <v/>
      </c>
      <c r="D23" s="13">
        <f>IFERROR(AVERAGEIF(Annonces!C2:C1299,A23,Annonces!F2:F1299),0)</f>
        <v/>
      </c>
      <c r="E23" s="14">
        <f>IFERROR(AVERAGEIF(Annonces!C2:C1299,A23,Annonces!I2:I1299),0)</f>
        <v/>
      </c>
    </row>
    <row r="24">
      <c r="A24" t="inlineStr">
        <is>
          <t>Bourgogne (Anfa)</t>
        </is>
      </c>
      <c r="B24">
        <f>COUNTIF(Annonces!C2:C1299,A24)</f>
        <v/>
      </c>
      <c r="C24" s="7">
        <f>IFERROR(AVERAGEIF(Annonces!C2:C1299,A24,Annonces!E2:E1299),0)</f>
        <v/>
      </c>
      <c r="D24" s="13">
        <f>IFERROR(AVERAGEIF(Annonces!C2:C1299,A24,Annonces!F2:F1299),0)</f>
        <v/>
      </c>
      <c r="E24" s="14">
        <f>IFERROR(AVERAGEIF(Annonces!C2:C1299,A24,Annonces!I2:I1299),0)</f>
        <v/>
      </c>
    </row>
    <row r="25">
      <c r="A25" t="inlineStr">
        <is>
          <t>Bourgogne (Sidi Belyout)</t>
        </is>
      </c>
      <c r="B25">
        <f>COUNTIF(Annonces!C2:C1299,A25)</f>
        <v/>
      </c>
      <c r="C25" s="7">
        <f>IFERROR(AVERAGEIF(Annonces!C2:C1299,A25,Annonces!E2:E1299),0)</f>
        <v/>
      </c>
      <c r="D25" s="13">
        <f>IFERROR(AVERAGEIF(Annonces!C2:C1299,A25,Annonces!F2:F1299),0)</f>
        <v/>
      </c>
      <c r="E25" s="14">
        <f>IFERROR(AVERAGEIF(Annonces!C2:C1299,A25,Annonces!I2:I1299),0)</f>
        <v/>
      </c>
    </row>
    <row r="26">
      <c r="A26" t="inlineStr">
        <is>
          <t>Bournazil</t>
        </is>
      </c>
      <c r="B26">
        <f>COUNTIF(Annonces!C2:C1299,A26)</f>
        <v/>
      </c>
      <c r="C26" s="7">
        <f>IFERROR(AVERAGEIF(Annonces!C2:C1299,A26,Annonces!E2:E1299),0)</f>
        <v/>
      </c>
      <c r="D26" s="13">
        <f>IFERROR(AVERAGEIF(Annonces!C2:C1299,A26,Annonces!F2:F1299),0)</f>
        <v/>
      </c>
      <c r="E26" s="14">
        <f>IFERROR(AVERAGEIF(Annonces!C2:C1299,A26,Annonces!I2:I1299),0)</f>
        <v/>
      </c>
    </row>
    <row r="27">
      <c r="A27" t="inlineStr">
        <is>
          <t>Bouskoura</t>
        </is>
      </c>
      <c r="B27">
        <f>COUNTIF(Annonces!C2:C1299,A27)</f>
        <v/>
      </c>
      <c r="C27" s="7">
        <f>IFERROR(AVERAGEIF(Annonces!C2:C1299,A27,Annonces!E2:E1299),0)</f>
        <v/>
      </c>
      <c r="D27" s="13">
        <f>IFERROR(AVERAGEIF(Annonces!C2:C1299,A27,Annonces!F2:F1299),0)</f>
        <v/>
      </c>
      <c r="E27" s="14">
        <f>IFERROR(AVERAGEIF(Annonces!C2:C1299,A27,Annonces!I2:I1299),0)</f>
        <v/>
      </c>
    </row>
    <row r="28">
      <c r="A28" t="inlineStr">
        <is>
          <t>Burger</t>
        </is>
      </c>
      <c r="B28">
        <f>COUNTIF(Annonces!C2:C1299,A28)</f>
        <v/>
      </c>
      <c r="C28" s="7">
        <f>IFERROR(AVERAGEIF(Annonces!C2:C1299,A28,Annonces!E2:E1299),0)</f>
        <v/>
      </c>
      <c r="D28" s="13">
        <f>IFERROR(AVERAGEIF(Annonces!C2:C1299,A28,Annonces!F2:F1299),0)</f>
        <v/>
      </c>
      <c r="E28" s="14">
        <f>IFERROR(AVERAGEIF(Annonces!C2:C1299,A28,Annonces!I2:I1299),0)</f>
        <v/>
      </c>
    </row>
    <row r="29">
      <c r="A29" t="inlineStr">
        <is>
          <t>Californie</t>
        </is>
      </c>
      <c r="B29">
        <f>COUNTIF(Annonces!C2:C1299,A29)</f>
        <v/>
      </c>
      <c r="C29" s="7">
        <f>IFERROR(AVERAGEIF(Annonces!C2:C1299,A29,Annonces!E2:E1299),0)</f>
        <v/>
      </c>
      <c r="D29" s="13">
        <f>IFERROR(AVERAGEIF(Annonces!C2:C1299,A29,Annonces!F2:F1299),0)</f>
        <v/>
      </c>
      <c r="E29" s="14">
        <f>IFERROR(AVERAGEIF(Annonces!C2:C1299,A29,Annonces!I2:I1299),0)</f>
        <v/>
      </c>
    </row>
    <row r="30">
      <c r="A30" t="inlineStr">
        <is>
          <t>Casa Green Town</t>
        </is>
      </c>
      <c r="B30">
        <f>COUNTIF(Annonces!C2:C1299,A30)</f>
        <v/>
      </c>
      <c r="C30" s="7">
        <f>IFERROR(AVERAGEIF(Annonces!C2:C1299,A30,Annonces!E2:E1299),0)</f>
        <v/>
      </c>
      <c r="D30" s="13">
        <f>IFERROR(AVERAGEIF(Annonces!C2:C1299,A30,Annonces!F2:F1299),0)</f>
        <v/>
      </c>
      <c r="E30" s="14">
        <f>IFERROR(AVERAGEIF(Annonces!C2:C1299,A30,Annonces!I2:I1299),0)</f>
        <v/>
      </c>
    </row>
    <row r="31">
      <c r="A31" t="inlineStr">
        <is>
          <t>Casa Nearshore</t>
        </is>
      </c>
      <c r="B31">
        <f>COUNTIF(Annonces!C2:C1299,A31)</f>
        <v/>
      </c>
      <c r="C31" s="7">
        <f>IFERROR(AVERAGEIF(Annonces!C2:C1299,A31,Annonces!E2:E1299),0)</f>
        <v/>
      </c>
      <c r="D31" s="13">
        <f>IFERROR(AVERAGEIF(Annonces!C2:C1299,A31,Annonces!F2:F1299),0)</f>
        <v/>
      </c>
      <c r="E31" s="14">
        <f>IFERROR(AVERAGEIF(Annonces!C2:C1299,A31,Annonces!I2:I1299),0)</f>
        <v/>
      </c>
    </row>
    <row r="32">
      <c r="A32" t="inlineStr">
        <is>
          <t>Casablanca Finance City</t>
        </is>
      </c>
      <c r="B32">
        <f>COUNTIF(Annonces!C2:C1299,A32)</f>
        <v/>
      </c>
      <c r="C32" s="7">
        <f>IFERROR(AVERAGEIF(Annonces!C2:C1299,A32,Annonces!E2:E1299),0)</f>
        <v/>
      </c>
      <c r="D32" s="13">
        <f>IFERROR(AVERAGEIF(Annonces!C2:C1299,A32,Annonces!F2:F1299),0)</f>
        <v/>
      </c>
      <c r="E32" s="14">
        <f>IFERROR(AVERAGEIF(Annonces!C2:C1299,A32,Annonces!I2:I1299),0)</f>
        <v/>
      </c>
    </row>
    <row r="33">
      <c r="A33" t="inlineStr">
        <is>
          <t>Casablanca Marina</t>
        </is>
      </c>
      <c r="B33">
        <f>COUNTIF(Annonces!C2:C1299,A33)</f>
        <v/>
      </c>
      <c r="C33" s="7">
        <f>IFERROR(AVERAGEIF(Annonces!C2:C1299,A33,Annonces!E2:E1299),0)</f>
        <v/>
      </c>
      <c r="D33" s="13">
        <f>IFERROR(AVERAGEIF(Annonces!C2:C1299,A33,Annonces!F2:F1299),0)</f>
        <v/>
      </c>
      <c r="E33" s="14">
        <f>IFERROR(AVERAGEIF(Annonces!C2:C1299,A33,Annonces!I2:I1299),0)</f>
        <v/>
      </c>
    </row>
    <row r="34">
      <c r="A34" t="inlineStr">
        <is>
          <t>Chantilly (Hippodrome)</t>
        </is>
      </c>
      <c r="B34">
        <f>COUNTIF(Annonces!C2:C1299,A34)</f>
        <v/>
      </c>
      <c r="C34" s="7">
        <f>IFERROR(AVERAGEIF(Annonces!C2:C1299,A34,Annonces!E2:E1299),0)</f>
        <v/>
      </c>
      <c r="D34" s="13">
        <f>IFERROR(AVERAGEIF(Annonces!C2:C1299,A34,Annonces!F2:F1299),0)</f>
        <v/>
      </c>
      <c r="E34" s="14">
        <f>IFERROR(AVERAGEIF(Annonces!C2:C1299,A34,Annonces!I2:I1299),0)</f>
        <v/>
      </c>
    </row>
    <row r="35">
      <c r="A35" t="inlineStr">
        <is>
          <t>Cil</t>
        </is>
      </c>
      <c r="B35">
        <f>COUNTIF(Annonces!C2:C1299,A35)</f>
        <v/>
      </c>
      <c r="C35" s="7">
        <f>IFERROR(AVERAGEIF(Annonces!C2:C1299,A35,Annonces!E2:E1299),0)</f>
        <v/>
      </c>
      <c r="D35" s="13">
        <f>IFERROR(AVERAGEIF(Annonces!C2:C1299,A35,Annonces!F2:F1299),0)</f>
        <v/>
      </c>
      <c r="E35" s="14">
        <f>IFERROR(AVERAGEIF(Annonces!C2:C1299,A35,Annonces!I2:I1299),0)</f>
        <v/>
      </c>
    </row>
    <row r="36">
      <c r="A36" t="inlineStr">
        <is>
          <t>Derb Ghalef</t>
        </is>
      </c>
      <c r="B36">
        <f>COUNTIF(Annonces!C2:C1299,A36)</f>
        <v/>
      </c>
      <c r="C36" s="7">
        <f>IFERROR(AVERAGEIF(Annonces!C2:C1299,A36,Annonces!E2:E1299),0)</f>
        <v/>
      </c>
      <c r="D36" s="13">
        <f>IFERROR(AVERAGEIF(Annonces!C2:C1299,A36,Annonces!F2:F1299),0)</f>
        <v/>
      </c>
      <c r="E36" s="14">
        <f>IFERROR(AVERAGEIF(Annonces!C2:C1299,A36,Annonces!I2:I1299),0)</f>
        <v/>
      </c>
    </row>
    <row r="37">
      <c r="A37" t="inlineStr">
        <is>
          <t>Derb Omar</t>
        </is>
      </c>
      <c r="B37">
        <f>COUNTIF(Annonces!C2:C1299,A37)</f>
        <v/>
      </c>
      <c r="C37" s="7">
        <f>IFERROR(AVERAGEIF(Annonces!C2:C1299,A37,Annonces!E2:E1299),0)</f>
        <v/>
      </c>
      <c r="D37" s="13">
        <f>IFERROR(AVERAGEIF(Annonces!C2:C1299,A37,Annonces!F2:F1299),0)</f>
        <v/>
      </c>
      <c r="E37" s="14">
        <f>IFERROR(AVERAGEIF(Annonces!C2:C1299,A37,Annonces!I2:I1299),0)</f>
        <v/>
      </c>
    </row>
    <row r="38">
      <c r="A38" t="inlineStr">
        <is>
          <t>Derb Sultan</t>
        </is>
      </c>
      <c r="B38">
        <f>COUNTIF(Annonces!C2:C1299,A38)</f>
        <v/>
      </c>
      <c r="C38" s="7">
        <f>IFERROR(AVERAGEIF(Annonces!C2:C1299,A38,Annonces!E2:E1299),0)</f>
        <v/>
      </c>
      <c r="D38" s="13">
        <f>IFERROR(AVERAGEIF(Annonces!C2:C1299,A38,Annonces!F2:F1299),0)</f>
        <v/>
      </c>
      <c r="E38" s="14">
        <f>IFERROR(AVERAGEIF(Annonces!C2:C1299,A38,Annonces!I2:I1299),0)</f>
        <v/>
      </c>
    </row>
    <row r="39">
      <c r="A39" t="inlineStr">
        <is>
          <t>El Hank</t>
        </is>
      </c>
      <c r="B39">
        <f>COUNTIF(Annonces!C2:C1299,A39)</f>
        <v/>
      </c>
      <c r="C39" s="7">
        <f>IFERROR(AVERAGEIF(Annonces!C2:C1299,A39,Annonces!E2:E1299),0)</f>
        <v/>
      </c>
      <c r="D39" s="13">
        <f>IFERROR(AVERAGEIF(Annonces!C2:C1299,A39,Annonces!F2:F1299),0)</f>
        <v/>
      </c>
      <c r="E39" s="14">
        <f>IFERROR(AVERAGEIF(Annonces!C2:C1299,A39,Annonces!I2:I1299),0)</f>
        <v/>
      </c>
    </row>
    <row r="40">
      <c r="A40" t="inlineStr">
        <is>
          <t>Errahma</t>
        </is>
      </c>
      <c r="B40">
        <f>COUNTIF(Annonces!C2:C1299,A40)</f>
        <v/>
      </c>
      <c r="C40" s="7">
        <f>IFERROR(AVERAGEIF(Annonces!C2:C1299,A40,Annonces!E2:E1299),0)</f>
        <v/>
      </c>
      <c r="D40" s="13">
        <f>IFERROR(AVERAGEIF(Annonces!C2:C1299,A40,Annonces!F2:F1299),0)</f>
        <v/>
      </c>
      <c r="E40" s="14">
        <f>IFERROR(AVERAGEIF(Annonces!C2:C1299,A40,Annonces!I2:I1299),0)</f>
        <v/>
      </c>
    </row>
    <row r="41">
      <c r="A41" t="inlineStr">
        <is>
          <t>Facultes - Route D'El Jadida</t>
        </is>
      </c>
      <c r="B41">
        <f>COUNTIF(Annonces!C2:C1299,A41)</f>
        <v/>
      </c>
      <c r="C41" s="7">
        <f>IFERROR(AVERAGEIF(Annonces!C2:C1299,A41,Annonces!E2:E1299),0)</f>
        <v/>
      </c>
      <c r="D41" s="13">
        <f>IFERROR(AVERAGEIF(Annonces!C2:C1299,A41,Annonces!F2:F1299),0)</f>
        <v/>
      </c>
      <c r="E41" s="14">
        <f>IFERROR(AVERAGEIF(Annonces!C2:C1299,A41,Annonces!I2:I1299),0)</f>
        <v/>
      </c>
    </row>
    <row r="42">
      <c r="A42" t="inlineStr">
        <is>
          <t>Fadaat Al Mouhit</t>
        </is>
      </c>
      <c r="B42">
        <f>COUNTIF(Annonces!C2:C1299,A42)</f>
        <v/>
      </c>
      <c r="C42" s="7">
        <f>IFERROR(AVERAGEIF(Annonces!C2:C1299,A42,Annonces!E2:E1299),0)</f>
        <v/>
      </c>
      <c r="D42" s="13">
        <f>IFERROR(AVERAGEIF(Annonces!C2:C1299,A42,Annonces!F2:F1299),0)</f>
        <v/>
      </c>
      <c r="E42" s="14">
        <f>IFERROR(AVERAGEIF(Annonces!C2:C1299,A42,Annonces!I2:I1299),0)</f>
        <v/>
      </c>
    </row>
    <row r="43">
      <c r="A43" t="inlineStr">
        <is>
          <t>Ferme Bretonne</t>
        </is>
      </c>
      <c r="B43">
        <f>COUNTIF(Annonces!C2:C1299,A43)</f>
        <v/>
      </c>
      <c r="C43" s="7">
        <f>IFERROR(AVERAGEIF(Annonces!C2:C1299,A43,Annonces!E2:E1299),0)</f>
        <v/>
      </c>
      <c r="D43" s="13">
        <f>IFERROR(AVERAGEIF(Annonces!C2:C1299,A43,Annonces!F2:F1299),0)</f>
        <v/>
      </c>
      <c r="E43" s="14">
        <f>IFERROR(AVERAGEIF(Annonces!C2:C1299,A43,Annonces!I2:I1299),0)</f>
        <v/>
      </c>
    </row>
    <row r="44">
      <c r="A44" t="inlineStr">
        <is>
          <t>Fida</t>
        </is>
      </c>
      <c r="B44">
        <f>COUNTIF(Annonces!C2:C1299,A44)</f>
        <v/>
      </c>
      <c r="C44" s="7">
        <f>IFERROR(AVERAGEIF(Annonces!C2:C1299,A44,Annonces!E2:E1299),0)</f>
        <v/>
      </c>
      <c r="D44" s="13">
        <f>IFERROR(AVERAGEIF(Annonces!C2:C1299,A44,Annonces!F2:F1299),0)</f>
        <v/>
      </c>
      <c r="E44" s="14">
        <f>IFERROR(AVERAGEIF(Annonces!C2:C1299,A44,Annonces!I2:I1299),0)</f>
        <v/>
      </c>
    </row>
    <row r="45">
      <c r="A45" t="inlineStr">
        <is>
          <t>Florida - Mandarona</t>
        </is>
      </c>
      <c r="B45">
        <f>COUNTIF(Annonces!C2:C1299,A45)</f>
        <v/>
      </c>
      <c r="C45" s="7">
        <f>IFERROR(AVERAGEIF(Annonces!C2:C1299,A45,Annonces!E2:E1299),0)</f>
        <v/>
      </c>
      <c r="D45" s="13">
        <f>IFERROR(AVERAGEIF(Annonces!C2:C1299,A45,Annonces!F2:F1299),0)</f>
        <v/>
      </c>
      <c r="E45" s="14">
        <f>IFERROR(AVERAGEIF(Annonces!C2:C1299,A45,Annonces!I2:I1299),0)</f>
        <v/>
      </c>
    </row>
    <row r="46">
      <c r="A46" t="inlineStr">
        <is>
          <t>Fonciere</t>
        </is>
      </c>
      <c r="B46">
        <f>COUNTIF(Annonces!C2:C1299,A46)</f>
        <v/>
      </c>
      <c r="C46" s="7">
        <f>IFERROR(AVERAGEIF(Annonces!C2:C1299,A46,Annonces!E2:E1299),0)</f>
        <v/>
      </c>
      <c r="D46" s="13">
        <f>IFERROR(AVERAGEIF(Annonces!C2:C1299,A46,Annonces!F2:F1299),0)</f>
        <v/>
      </c>
      <c r="E46" s="14">
        <f>IFERROR(AVERAGEIF(Annonces!C2:C1299,A46,Annonces!I2:I1299),0)</f>
        <v/>
      </c>
    </row>
    <row r="47">
      <c r="A47" t="inlineStr">
        <is>
          <t>Franceville</t>
        </is>
      </c>
      <c r="B47">
        <f>COUNTIF(Annonces!C2:C1299,A47)</f>
        <v/>
      </c>
      <c r="C47" s="7">
        <f>IFERROR(AVERAGEIF(Annonces!C2:C1299,A47,Annonces!E2:E1299),0)</f>
        <v/>
      </c>
      <c r="D47" s="13">
        <f>IFERROR(AVERAGEIF(Annonces!C2:C1299,A47,Annonces!F2:F1299),0)</f>
        <v/>
      </c>
      <c r="E47" s="14">
        <f>IFERROR(AVERAGEIF(Annonces!C2:C1299,A47,Annonces!I2:I1299),0)</f>
        <v/>
      </c>
    </row>
    <row r="48">
      <c r="A48" t="inlineStr">
        <is>
          <t>Gauthier</t>
        </is>
      </c>
      <c r="B48">
        <f>COUNTIF(Annonces!C2:C1299,A48)</f>
        <v/>
      </c>
      <c r="C48" s="7">
        <f>IFERROR(AVERAGEIF(Annonces!C2:C1299,A48,Annonces!E2:E1299),0)</f>
        <v/>
      </c>
      <c r="D48" s="13">
        <f>IFERROR(AVERAGEIF(Annonces!C2:C1299,A48,Annonces!F2:F1299),0)</f>
        <v/>
      </c>
      <c r="E48" s="14">
        <f>IFERROR(AVERAGEIF(Annonces!C2:C1299,A48,Annonces!I2:I1299),0)</f>
        <v/>
      </c>
    </row>
    <row r="49">
      <c r="A49" t="inlineStr">
        <is>
          <t>Habbous</t>
        </is>
      </c>
      <c r="B49">
        <f>COUNTIF(Annonces!C2:C1299,A49)</f>
        <v/>
      </c>
      <c r="C49" s="7">
        <f>IFERROR(AVERAGEIF(Annonces!C2:C1299,A49,Annonces!E2:E1299),0)</f>
        <v/>
      </c>
      <c r="D49" s="13">
        <f>IFERROR(AVERAGEIF(Annonces!C2:C1299,A49,Annonces!F2:F1299),0)</f>
        <v/>
      </c>
      <c r="E49" s="14">
        <f>IFERROR(AVERAGEIF(Annonces!C2:C1299,A49,Annonces!I2:I1299),0)</f>
        <v/>
      </c>
    </row>
    <row r="50">
      <c r="A50" t="inlineStr">
        <is>
          <t>Hay Hassani</t>
        </is>
      </c>
      <c r="B50">
        <f>COUNTIF(Annonces!C2:C1299,A50)</f>
        <v/>
      </c>
      <c r="C50" s="7">
        <f>IFERROR(AVERAGEIF(Annonces!C2:C1299,A50,Annonces!E2:E1299),0)</f>
        <v/>
      </c>
      <c r="D50" s="13">
        <f>IFERROR(AVERAGEIF(Annonces!C2:C1299,A50,Annonces!F2:F1299),0)</f>
        <v/>
      </c>
      <c r="E50" s="14">
        <f>IFERROR(AVERAGEIF(Annonces!C2:C1299,A50,Annonces!I2:I1299),0)</f>
        <v/>
      </c>
    </row>
    <row r="51">
      <c r="A51" t="inlineStr">
        <is>
          <t>Hay Mohammadi</t>
        </is>
      </c>
      <c r="B51">
        <f>COUNTIF(Annonces!C2:C1299,A51)</f>
        <v/>
      </c>
      <c r="C51" s="7">
        <f>IFERROR(AVERAGEIF(Annonces!C2:C1299,A51,Annonces!E2:E1299),0)</f>
        <v/>
      </c>
      <c r="D51" s="13">
        <f>IFERROR(AVERAGEIF(Annonces!C2:C1299,A51,Annonces!F2:F1299),0)</f>
        <v/>
      </c>
      <c r="E51" s="14">
        <f>IFERROR(AVERAGEIF(Annonces!C2:C1299,A51,Annonces!I2:I1299),0)</f>
        <v/>
      </c>
    </row>
    <row r="52">
      <c r="A52" t="inlineStr">
        <is>
          <t>Hay Mohammadi (Ain Sebaa)</t>
        </is>
      </c>
      <c r="B52">
        <f>COUNTIF(Annonces!C2:C1299,A52)</f>
        <v/>
      </c>
      <c r="C52" s="7">
        <f>IFERROR(AVERAGEIF(Annonces!C2:C1299,A52,Annonces!E2:E1299),0)</f>
        <v/>
      </c>
      <c r="D52" s="13">
        <f>IFERROR(AVERAGEIF(Annonces!C2:C1299,A52,Annonces!F2:F1299),0)</f>
        <v/>
      </c>
      <c r="E52" s="14">
        <f>IFERROR(AVERAGEIF(Annonces!C2:C1299,A52,Annonces!I2:I1299),0)</f>
        <v/>
      </c>
    </row>
    <row r="53">
      <c r="A53" t="inlineStr">
        <is>
          <t>Hay Riad</t>
        </is>
      </c>
      <c r="B53">
        <f>COUNTIF(Annonces!C2:C1299,A53)</f>
        <v/>
      </c>
      <c r="C53" s="7">
        <f>IFERROR(AVERAGEIF(Annonces!C2:C1299,A53,Annonces!E2:E1299),0)</f>
        <v/>
      </c>
      <c r="D53" s="13">
        <f>IFERROR(AVERAGEIF(Annonces!C2:C1299,A53,Annonces!F2:F1299),0)</f>
        <v/>
      </c>
      <c r="E53" s="14">
        <f>IFERROR(AVERAGEIF(Annonces!C2:C1299,A53,Annonces!I2:I1299),0)</f>
        <v/>
      </c>
    </row>
    <row r="54">
      <c r="A54" t="inlineStr">
        <is>
          <t>Hippodrome</t>
        </is>
      </c>
      <c r="B54">
        <f>COUNTIF(Annonces!C2:C1299,A54)</f>
        <v/>
      </c>
      <c r="C54" s="7">
        <f>IFERROR(AVERAGEIF(Annonces!C2:C1299,A54,Annonces!E2:E1299),0)</f>
        <v/>
      </c>
      <c r="D54" s="13">
        <f>IFERROR(AVERAGEIF(Annonces!C2:C1299,A54,Annonces!F2:F1299),0)</f>
        <v/>
      </c>
      <c r="E54" s="14">
        <f>IFERROR(AVERAGEIF(Annonces!C2:C1299,A54,Annonces!I2:I1299),0)</f>
        <v/>
      </c>
    </row>
    <row r="55">
      <c r="A55" t="inlineStr">
        <is>
          <t>Hopitaux</t>
        </is>
      </c>
      <c r="B55">
        <f>COUNTIF(Annonces!C2:C1299,A55)</f>
        <v/>
      </c>
      <c r="C55" s="7">
        <f>IFERROR(AVERAGEIF(Annonces!C2:C1299,A55,Annonces!E2:E1299),0)</f>
        <v/>
      </c>
      <c r="D55" s="13">
        <f>IFERROR(AVERAGEIF(Annonces!C2:C1299,A55,Annonces!F2:F1299),0)</f>
        <v/>
      </c>
      <c r="E55" s="14">
        <f>IFERROR(AVERAGEIF(Annonces!C2:C1299,A55,Annonces!I2:I1299),0)</f>
        <v/>
      </c>
    </row>
    <row r="56">
      <c r="A56" t="inlineStr">
        <is>
          <t>Hwawra</t>
        </is>
      </c>
      <c r="B56">
        <f>COUNTIF(Annonces!C2:C1299,A56)</f>
        <v/>
      </c>
      <c r="C56" s="7">
        <f>IFERROR(AVERAGEIF(Annonces!C2:C1299,A56,Annonces!E2:E1299),0)</f>
        <v/>
      </c>
      <c r="D56" s="13">
        <f>IFERROR(AVERAGEIF(Annonces!C2:C1299,A56,Annonces!F2:F1299),0)</f>
        <v/>
      </c>
      <c r="E56" s="14">
        <f>IFERROR(AVERAGEIF(Annonces!C2:C1299,A56,Annonces!I2:I1299),0)</f>
        <v/>
      </c>
    </row>
    <row r="57">
      <c r="A57" t="inlineStr">
        <is>
          <t>Ibn Tachfine</t>
        </is>
      </c>
      <c r="B57">
        <f>COUNTIF(Annonces!C2:C1299,A57)</f>
        <v/>
      </c>
      <c r="C57" s="7">
        <f>IFERROR(AVERAGEIF(Annonces!C2:C1299,A57,Annonces!E2:E1299),0)</f>
        <v/>
      </c>
      <c r="D57" s="13">
        <f>IFERROR(AVERAGEIF(Annonces!C2:C1299,A57,Annonces!F2:F1299),0)</f>
        <v/>
      </c>
      <c r="E57" s="14">
        <f>IFERROR(AVERAGEIF(Annonces!C2:C1299,A57,Annonces!I2:I1299),0)</f>
        <v/>
      </c>
    </row>
    <row r="58">
      <c r="A58" t="inlineStr">
        <is>
          <t>Inara</t>
        </is>
      </c>
      <c r="B58">
        <f>COUNTIF(Annonces!C2:C1299,A58)</f>
        <v/>
      </c>
      <c r="C58" s="7">
        <f>IFERROR(AVERAGEIF(Annonces!C2:C1299,A58,Annonces!E2:E1299),0)</f>
        <v/>
      </c>
      <c r="D58" s="13">
        <f>IFERROR(AVERAGEIF(Annonces!C2:C1299,A58,Annonces!F2:F1299),0)</f>
        <v/>
      </c>
      <c r="E58" s="14">
        <f>IFERROR(AVERAGEIF(Annonces!C2:C1299,A58,Annonces!I2:I1299),0)</f>
        <v/>
      </c>
    </row>
    <row r="59">
      <c r="A59" t="inlineStr">
        <is>
          <t>La Colline</t>
        </is>
      </c>
      <c r="B59">
        <f>COUNTIF(Annonces!C2:C1299,A59)</f>
        <v/>
      </c>
      <c r="C59" s="7">
        <f>IFERROR(AVERAGEIF(Annonces!C2:C1299,A59,Annonces!E2:E1299),0)</f>
        <v/>
      </c>
      <c r="D59" s="13">
        <f>IFERROR(AVERAGEIF(Annonces!C2:C1299,A59,Annonces!F2:F1299),0)</f>
        <v/>
      </c>
      <c r="E59" s="14">
        <f>IFERROR(AVERAGEIF(Annonces!C2:C1299,A59,Annonces!I2:I1299),0)</f>
        <v/>
      </c>
    </row>
    <row r="60">
      <c r="A60" t="inlineStr">
        <is>
          <t>La Gironde</t>
        </is>
      </c>
      <c r="B60">
        <f>COUNTIF(Annonces!C2:C1299,A60)</f>
        <v/>
      </c>
      <c r="C60" s="7">
        <f>IFERROR(AVERAGEIF(Annonces!C2:C1299,A60,Annonces!E2:E1299),0)</f>
        <v/>
      </c>
      <c r="D60" s="13">
        <f>IFERROR(AVERAGEIF(Annonces!C2:C1299,A60,Annonces!F2:F1299),0)</f>
        <v/>
      </c>
      <c r="E60" s="14">
        <f>IFERROR(AVERAGEIF(Annonces!C2:C1299,A60,Annonces!I2:I1299),0)</f>
        <v/>
      </c>
    </row>
    <row r="61">
      <c r="A61" t="inlineStr">
        <is>
          <t>Laymoune</t>
        </is>
      </c>
      <c r="B61">
        <f>COUNTIF(Annonces!C2:C1299,A61)</f>
        <v/>
      </c>
      <c r="C61" s="7">
        <f>IFERROR(AVERAGEIF(Annonces!C2:C1299,A61,Annonces!E2:E1299),0)</f>
        <v/>
      </c>
      <c r="D61" s="13">
        <f>IFERROR(AVERAGEIF(Annonces!C2:C1299,A61,Annonces!F2:F1299),0)</f>
        <v/>
      </c>
      <c r="E61" s="14">
        <f>IFERROR(AVERAGEIF(Annonces!C2:C1299,A61,Annonces!I2:I1299),0)</f>
        <v/>
      </c>
    </row>
    <row r="62">
      <c r="A62" t="inlineStr">
        <is>
          <t>Lekrimat</t>
        </is>
      </c>
      <c r="B62">
        <f>COUNTIF(Annonces!C2:C1299,A62)</f>
        <v/>
      </c>
      <c r="C62" s="7">
        <f>IFERROR(AVERAGEIF(Annonces!C2:C1299,A62,Annonces!E2:E1299),0)</f>
        <v/>
      </c>
      <c r="D62" s="13">
        <f>IFERROR(AVERAGEIF(Annonces!C2:C1299,A62,Annonces!F2:F1299),0)</f>
        <v/>
      </c>
      <c r="E62" s="14">
        <f>IFERROR(AVERAGEIF(Annonces!C2:C1299,A62,Annonces!I2:I1299),0)</f>
        <v/>
      </c>
    </row>
    <row r="63">
      <c r="A63" t="inlineStr">
        <is>
          <t>Lemkansa</t>
        </is>
      </c>
      <c r="B63">
        <f>COUNTIF(Annonces!C2:C1299,A63)</f>
        <v/>
      </c>
      <c r="C63" s="7">
        <f>IFERROR(AVERAGEIF(Annonces!C2:C1299,A63,Annonces!E2:E1299),0)</f>
        <v/>
      </c>
      <c r="D63" s="13">
        <f>IFERROR(AVERAGEIF(Annonces!C2:C1299,A63,Annonces!F2:F1299),0)</f>
        <v/>
      </c>
      <c r="E63" s="14">
        <f>IFERROR(AVERAGEIF(Annonces!C2:C1299,A63,Annonces!I2:I1299),0)</f>
        <v/>
      </c>
    </row>
    <row r="64">
      <c r="A64" t="inlineStr">
        <is>
          <t>Les Princesses</t>
        </is>
      </c>
      <c r="B64">
        <f>COUNTIF(Annonces!C2:C1299,A64)</f>
        <v/>
      </c>
      <c r="C64" s="7">
        <f>IFERROR(AVERAGEIF(Annonces!C2:C1299,A64,Annonces!E2:E1299),0)</f>
        <v/>
      </c>
      <c r="D64" s="13">
        <f>IFERROR(AVERAGEIF(Annonces!C2:C1299,A64,Annonces!F2:F1299),0)</f>
        <v/>
      </c>
      <c r="E64" s="14">
        <f>IFERROR(AVERAGEIF(Annonces!C2:C1299,A64,Annonces!I2:I1299),0)</f>
        <v/>
      </c>
    </row>
    <row r="65">
      <c r="A65" t="inlineStr">
        <is>
          <t>Liberte</t>
        </is>
      </c>
      <c r="B65">
        <f>COUNTIF(Annonces!C2:C1299,A65)</f>
        <v/>
      </c>
      <c r="C65" s="7">
        <f>IFERROR(AVERAGEIF(Annonces!C2:C1299,A65,Annonces!E2:E1299),0)</f>
        <v/>
      </c>
      <c r="D65" s="13">
        <f>IFERROR(AVERAGEIF(Annonces!C2:C1299,A65,Annonces!F2:F1299),0)</f>
        <v/>
      </c>
      <c r="E65" s="14">
        <f>IFERROR(AVERAGEIF(Annonces!C2:C1299,A65,Annonces!I2:I1299),0)</f>
        <v/>
      </c>
    </row>
    <row r="66">
      <c r="A66" t="inlineStr">
        <is>
          <t>Lissasfa</t>
        </is>
      </c>
      <c r="B66">
        <f>COUNTIF(Annonces!C2:C1299,A66)</f>
        <v/>
      </c>
      <c r="C66" s="7">
        <f>IFERROR(AVERAGEIF(Annonces!C2:C1299,A66,Annonces!E2:E1299),0)</f>
        <v/>
      </c>
      <c r="D66" s="13">
        <f>IFERROR(AVERAGEIF(Annonces!C2:C1299,A66,Annonces!F2:F1299),0)</f>
        <v/>
      </c>
      <c r="E66" s="14">
        <f>IFERROR(AVERAGEIF(Annonces!C2:C1299,A66,Annonces!I2:I1299),0)</f>
        <v/>
      </c>
    </row>
    <row r="67">
      <c r="A67" t="inlineStr">
        <is>
          <t>Longchamps</t>
        </is>
      </c>
      <c r="B67">
        <f>COUNTIF(Annonces!C2:C1299,A67)</f>
        <v/>
      </c>
      <c r="C67" s="7">
        <f>IFERROR(AVERAGEIF(Annonces!C2:C1299,A67,Annonces!E2:E1299),0)</f>
        <v/>
      </c>
      <c r="D67" s="13">
        <f>IFERROR(AVERAGEIF(Annonces!C2:C1299,A67,Annonces!F2:F1299),0)</f>
        <v/>
      </c>
      <c r="E67" s="14">
        <f>IFERROR(AVERAGEIF(Annonces!C2:C1299,A67,Annonces!I2:I1299),0)</f>
        <v/>
      </c>
    </row>
    <row r="68">
      <c r="A68" t="inlineStr">
        <is>
          <t>Lotissement Regraga</t>
        </is>
      </c>
      <c r="B68">
        <f>COUNTIF(Annonces!C2:C1299,A68)</f>
        <v/>
      </c>
      <c r="C68" s="7">
        <f>IFERROR(AVERAGEIF(Annonces!C2:C1299,A68,Annonces!E2:E1299),0)</f>
        <v/>
      </c>
      <c r="D68" s="13">
        <f>IFERROR(AVERAGEIF(Annonces!C2:C1299,A68,Annonces!F2:F1299),0)</f>
        <v/>
      </c>
      <c r="E68" s="14">
        <f>IFERROR(AVERAGEIF(Annonces!C2:C1299,A68,Annonces!I2:I1299),0)</f>
        <v/>
      </c>
    </row>
    <row r="69">
      <c r="A69" t="inlineStr">
        <is>
          <t>Lusitania</t>
        </is>
      </c>
      <c r="B69">
        <f>COUNTIF(Annonces!C2:C1299,A69)</f>
        <v/>
      </c>
      <c r="C69" s="7">
        <f>IFERROR(AVERAGEIF(Annonces!C2:C1299,A69,Annonces!E2:E1299),0)</f>
        <v/>
      </c>
      <c r="D69" s="13">
        <f>IFERROR(AVERAGEIF(Annonces!C2:C1299,A69,Annonces!F2:F1299),0)</f>
        <v/>
      </c>
      <c r="E69" s="14">
        <f>IFERROR(AVERAGEIF(Annonces!C2:C1299,A69,Annonces!I2:I1299),0)</f>
        <v/>
      </c>
    </row>
    <row r="70">
      <c r="A70" t="inlineStr">
        <is>
          <t>Maarif</t>
        </is>
      </c>
      <c r="B70">
        <f>COUNTIF(Annonces!C2:C1299,A70)</f>
        <v/>
      </c>
      <c r="C70" s="7">
        <f>IFERROR(AVERAGEIF(Annonces!C2:C1299,A70,Annonces!E2:E1299),0)</f>
        <v/>
      </c>
      <c r="D70" s="13">
        <f>IFERROR(AVERAGEIF(Annonces!C2:C1299,A70,Annonces!F2:F1299),0)</f>
        <v/>
      </c>
      <c r="E70" s="14">
        <f>IFERROR(AVERAGEIF(Annonces!C2:C1299,A70,Annonces!I2:I1299),0)</f>
        <v/>
      </c>
    </row>
    <row r="71">
      <c r="A71" t="inlineStr">
        <is>
          <t>Maarif Extension</t>
        </is>
      </c>
      <c r="B71">
        <f>COUNTIF(Annonces!C2:C1299,A71)</f>
        <v/>
      </c>
      <c r="C71" s="7">
        <f>IFERROR(AVERAGEIF(Annonces!C2:C1299,A71,Annonces!E2:E1299),0)</f>
        <v/>
      </c>
      <c r="D71" s="13">
        <f>IFERROR(AVERAGEIF(Annonces!C2:C1299,A71,Annonces!F2:F1299),0)</f>
        <v/>
      </c>
      <c r="E71" s="14">
        <f>IFERROR(AVERAGEIF(Annonces!C2:C1299,A71,Annonces!I2:I1299),0)</f>
        <v/>
      </c>
    </row>
    <row r="72">
      <c r="A72" t="inlineStr">
        <is>
          <t>Malabata</t>
        </is>
      </c>
      <c r="B72">
        <f>COUNTIF(Annonces!C2:C1299,A72)</f>
        <v/>
      </c>
      <c r="C72" s="7">
        <f>IFERROR(AVERAGEIF(Annonces!C2:C1299,A72,Annonces!E2:E1299),0)</f>
        <v/>
      </c>
      <c r="D72" s="13">
        <f>IFERROR(AVERAGEIF(Annonces!C2:C1299,A72,Annonces!F2:F1299),0)</f>
        <v/>
      </c>
      <c r="E72" s="14">
        <f>IFERROR(AVERAGEIF(Annonces!C2:C1299,A72,Annonces!I2:I1299),0)</f>
        <v/>
      </c>
    </row>
    <row r="73">
      <c r="A73" t="inlineStr">
        <is>
          <t>Mandarouna</t>
        </is>
      </c>
      <c r="B73">
        <f>COUNTIF(Annonces!C2:C1299,A73)</f>
        <v/>
      </c>
      <c r="C73" s="7">
        <f>IFERROR(AVERAGEIF(Annonces!C2:C1299,A73,Annonces!E2:E1299),0)</f>
        <v/>
      </c>
      <c r="D73" s="13">
        <f>IFERROR(AVERAGEIF(Annonces!C2:C1299,A73,Annonces!F2:F1299),0)</f>
        <v/>
      </c>
      <c r="E73" s="14">
        <f>IFERROR(AVERAGEIF(Annonces!C2:C1299,A73,Annonces!I2:I1299),0)</f>
        <v/>
      </c>
    </row>
    <row r="74">
      <c r="A74" t="inlineStr">
        <is>
          <t>Mers Sultan</t>
        </is>
      </c>
      <c r="B74">
        <f>COUNTIF(Annonces!C2:C1299,A74)</f>
        <v/>
      </c>
      <c r="C74" s="7">
        <f>IFERROR(AVERAGEIF(Annonces!C2:C1299,A74,Annonces!E2:E1299),0)</f>
        <v/>
      </c>
      <c r="D74" s="13">
        <f>IFERROR(AVERAGEIF(Annonces!C2:C1299,A74,Annonces!F2:F1299),0)</f>
        <v/>
      </c>
      <c r="E74" s="14">
        <f>IFERROR(AVERAGEIF(Annonces!C2:C1299,A74,Annonces!I2:I1299),0)</f>
        <v/>
      </c>
    </row>
    <row r="75">
      <c r="A75" t="inlineStr">
        <is>
          <t>Moulay Rachid</t>
        </is>
      </c>
      <c r="B75">
        <f>COUNTIF(Annonces!C2:C1299,A75)</f>
        <v/>
      </c>
      <c r="C75" s="7">
        <f>IFERROR(AVERAGEIF(Annonces!C2:C1299,A75,Annonces!E2:E1299),0)</f>
        <v/>
      </c>
      <c r="D75" s="13">
        <f>IFERROR(AVERAGEIF(Annonces!C2:C1299,A75,Annonces!F2:F1299),0)</f>
        <v/>
      </c>
      <c r="E75" s="14">
        <f>IFERROR(AVERAGEIF(Annonces!C2:C1299,A75,Annonces!I2:I1299),0)</f>
        <v/>
      </c>
    </row>
    <row r="76">
      <c r="A76" t="inlineStr">
        <is>
          <t>Moulay Youssef</t>
        </is>
      </c>
      <c r="B76">
        <f>COUNTIF(Annonces!C2:C1299,A76)</f>
        <v/>
      </c>
      <c r="C76" s="7">
        <f>IFERROR(AVERAGEIF(Annonces!C2:C1299,A76,Annonces!E2:E1299),0)</f>
        <v/>
      </c>
      <c r="D76" s="13">
        <f>IFERROR(AVERAGEIF(Annonces!C2:C1299,A76,Annonces!F2:F1299),0)</f>
        <v/>
      </c>
      <c r="E76" s="14">
        <f>IFERROR(AVERAGEIF(Annonces!C2:C1299,A76,Annonces!I2:I1299),0)</f>
        <v/>
      </c>
    </row>
    <row r="77">
      <c r="A77" t="inlineStr">
        <is>
          <t>Nassim</t>
        </is>
      </c>
      <c r="B77">
        <f>COUNTIF(Annonces!C2:C1299,A77)</f>
        <v/>
      </c>
      <c r="C77" s="7">
        <f>IFERROR(AVERAGEIF(Annonces!C2:C1299,A77,Annonces!E2:E1299),0)</f>
        <v/>
      </c>
      <c r="D77" s="13">
        <f>IFERROR(AVERAGEIF(Annonces!C2:C1299,A77,Annonces!F2:F1299),0)</f>
        <v/>
      </c>
      <c r="E77" s="14">
        <f>IFERROR(AVERAGEIF(Annonces!C2:C1299,A77,Annonces!I2:I1299),0)</f>
        <v/>
      </c>
    </row>
    <row r="78">
      <c r="A78" t="inlineStr">
        <is>
          <t>Nouaceur</t>
        </is>
      </c>
      <c r="B78">
        <f>COUNTIF(Annonces!C2:C1299,A78)</f>
        <v/>
      </c>
      <c r="C78" s="7">
        <f>IFERROR(AVERAGEIF(Annonces!C2:C1299,A78,Annonces!E2:E1299),0)</f>
        <v/>
      </c>
      <c r="D78" s="13">
        <f>IFERROR(AVERAGEIF(Annonces!C2:C1299,A78,Annonces!F2:F1299),0)</f>
        <v/>
      </c>
      <c r="E78" s="14">
        <f>IFERROR(AVERAGEIF(Annonces!C2:C1299,A78,Annonces!I2:I1299),0)</f>
        <v/>
      </c>
    </row>
    <row r="79">
      <c r="A79" t="inlineStr">
        <is>
          <t>Oasis</t>
        </is>
      </c>
      <c r="B79">
        <f>COUNTIF(Annonces!C2:C1299,A79)</f>
        <v/>
      </c>
      <c r="C79" s="7">
        <f>IFERROR(AVERAGEIF(Annonces!C2:C1299,A79,Annonces!E2:E1299),0)</f>
        <v/>
      </c>
      <c r="D79" s="13">
        <f>IFERROR(AVERAGEIF(Annonces!C2:C1299,A79,Annonces!F2:F1299),0)</f>
        <v/>
      </c>
      <c r="E79" s="14">
        <f>IFERROR(AVERAGEIF(Annonces!C2:C1299,A79,Annonces!I2:I1299),0)</f>
        <v/>
      </c>
    </row>
    <row r="80">
      <c r="A80" t="inlineStr">
        <is>
          <t>Ouled Ahmed</t>
        </is>
      </c>
      <c r="B80">
        <f>COUNTIF(Annonces!C2:C1299,A80)</f>
        <v/>
      </c>
      <c r="C80" s="7">
        <f>IFERROR(AVERAGEIF(Annonces!C2:C1299,A80,Annonces!E2:E1299),0)</f>
        <v/>
      </c>
      <c r="D80" s="13">
        <f>IFERROR(AVERAGEIF(Annonces!C2:C1299,A80,Annonces!F2:F1299),0)</f>
        <v/>
      </c>
      <c r="E80" s="14">
        <f>IFERROR(AVERAGEIF(Annonces!C2:C1299,A80,Annonces!I2:I1299),0)</f>
        <v/>
      </c>
    </row>
    <row r="81">
      <c r="A81" t="inlineStr">
        <is>
          <t>Ouled Ziane</t>
        </is>
      </c>
      <c r="B81">
        <f>COUNTIF(Annonces!C2:C1299,A81)</f>
        <v/>
      </c>
      <c r="C81" s="7">
        <f>IFERROR(AVERAGEIF(Annonces!C2:C1299,A81,Annonces!E2:E1299),0)</f>
        <v/>
      </c>
      <c r="D81" s="13">
        <f>IFERROR(AVERAGEIF(Annonces!C2:C1299,A81,Annonces!F2:F1299),0)</f>
        <v/>
      </c>
      <c r="E81" s="14">
        <f>IFERROR(AVERAGEIF(Annonces!C2:C1299,A81,Annonces!I2:I1299),0)</f>
        <v/>
      </c>
    </row>
    <row r="82">
      <c r="A82" t="inlineStr">
        <is>
          <t>Oulfa</t>
        </is>
      </c>
      <c r="B82">
        <f>COUNTIF(Annonces!C2:C1299,A82)</f>
        <v/>
      </c>
      <c r="C82" s="7">
        <f>IFERROR(AVERAGEIF(Annonces!C2:C1299,A82,Annonces!E2:E1299),0)</f>
        <v/>
      </c>
      <c r="D82" s="13">
        <f>IFERROR(AVERAGEIF(Annonces!C2:C1299,A82,Annonces!F2:F1299),0)</f>
        <v/>
      </c>
      <c r="E82" s="14">
        <f>IFERROR(AVERAGEIF(Annonces!C2:C1299,A82,Annonces!I2:I1299),0)</f>
        <v/>
      </c>
    </row>
    <row r="83">
      <c r="A83" t="inlineStr">
        <is>
          <t>Palmier (Maarif)</t>
        </is>
      </c>
      <c r="B83">
        <f>COUNTIF(Annonces!C2:C1299,A83)</f>
        <v/>
      </c>
      <c r="C83" s="7">
        <f>IFERROR(AVERAGEIF(Annonces!C2:C1299,A83,Annonces!E2:E1299),0)</f>
        <v/>
      </c>
      <c r="D83" s="13">
        <f>IFERROR(AVERAGEIF(Annonces!C2:C1299,A83,Annonces!F2:F1299),0)</f>
        <v/>
      </c>
      <c r="E83" s="14">
        <f>IFERROR(AVERAGEIF(Annonces!C2:C1299,A83,Annonces!I2:I1299),0)</f>
        <v/>
      </c>
    </row>
    <row r="84">
      <c r="A84" t="inlineStr">
        <is>
          <t>Palmier (Sidi Belyout)</t>
        </is>
      </c>
      <c r="B84">
        <f>COUNTIF(Annonces!C2:C1299,A84)</f>
        <v/>
      </c>
      <c r="C84" s="7">
        <f>IFERROR(AVERAGEIF(Annonces!C2:C1299,A84,Annonces!E2:E1299),0)</f>
        <v/>
      </c>
      <c r="D84" s="13">
        <f>IFERROR(AVERAGEIF(Annonces!C2:C1299,A84,Annonces!F2:F1299),0)</f>
        <v/>
      </c>
      <c r="E84" s="14">
        <f>IFERROR(AVERAGEIF(Annonces!C2:C1299,A84,Annonces!I2:I1299),0)</f>
        <v/>
      </c>
    </row>
    <row r="85">
      <c r="A85" t="inlineStr">
        <is>
          <t>Parc Industriel Cfcim</t>
        </is>
      </c>
      <c r="B85">
        <f>COUNTIF(Annonces!C2:C1299,A85)</f>
        <v/>
      </c>
      <c r="C85" s="7">
        <f>IFERROR(AVERAGEIF(Annonces!C2:C1299,A85,Annonces!E2:E1299),0)</f>
        <v/>
      </c>
      <c r="D85" s="13">
        <f>IFERROR(AVERAGEIF(Annonces!C2:C1299,A85,Annonces!F2:F1299),0)</f>
        <v/>
      </c>
      <c r="E85" s="14">
        <f>IFERROR(AVERAGEIF(Annonces!C2:C1299,A85,Annonces!I2:I1299),0)</f>
        <v/>
      </c>
    </row>
    <row r="86">
      <c r="A86" t="inlineStr">
        <is>
          <t>Passadena Village</t>
        </is>
      </c>
      <c r="B86">
        <f>COUNTIF(Annonces!C2:C1299,A86)</f>
        <v/>
      </c>
      <c r="C86" s="7">
        <f>IFERROR(AVERAGEIF(Annonces!C2:C1299,A86,Annonces!E2:E1299),0)</f>
        <v/>
      </c>
      <c r="D86" s="13">
        <f>IFERROR(AVERAGEIF(Annonces!C2:C1299,A86,Annonces!F2:F1299),0)</f>
        <v/>
      </c>
      <c r="E86" s="14">
        <f>IFERROR(AVERAGEIF(Annonces!C2:C1299,A86,Annonces!I2:I1299),0)</f>
        <v/>
      </c>
    </row>
    <row r="87">
      <c r="A87" t="inlineStr">
        <is>
          <t>Plage De Sidi Rahal</t>
        </is>
      </c>
      <c r="B87">
        <f>COUNTIF(Annonces!C2:C1299,A87)</f>
        <v/>
      </c>
      <c r="C87" s="7">
        <f>IFERROR(AVERAGEIF(Annonces!C2:C1299,A87,Annonces!E2:E1299),0)</f>
        <v/>
      </c>
      <c r="D87" s="13">
        <f>IFERROR(AVERAGEIF(Annonces!C2:C1299,A87,Annonces!F2:F1299),0)</f>
        <v/>
      </c>
      <c r="E87" s="14">
        <f>IFERROR(AVERAGEIF(Annonces!C2:C1299,A87,Annonces!I2:I1299),0)</f>
        <v/>
      </c>
    </row>
    <row r="88">
      <c r="A88" t="inlineStr">
        <is>
          <t>Plateau</t>
        </is>
      </c>
      <c r="B88">
        <f>COUNTIF(Annonces!C2:C1299,A88)</f>
        <v/>
      </c>
      <c r="C88" s="7">
        <f>IFERROR(AVERAGEIF(Annonces!C2:C1299,A88,Annonces!E2:E1299),0)</f>
        <v/>
      </c>
      <c r="D88" s="13">
        <f>IFERROR(AVERAGEIF(Annonces!C2:C1299,A88,Annonces!F2:F1299),0)</f>
        <v/>
      </c>
      <c r="E88" s="14">
        <f>IFERROR(AVERAGEIF(Annonces!C2:C1299,A88,Annonces!I2:I1299),0)</f>
        <v/>
      </c>
    </row>
    <row r="89">
      <c r="A89" t="inlineStr">
        <is>
          <t>Polo (Ain Chok)</t>
        </is>
      </c>
      <c r="B89">
        <f>COUNTIF(Annonces!C2:C1299,A89)</f>
        <v/>
      </c>
      <c r="C89" s="7">
        <f>IFERROR(AVERAGEIF(Annonces!C2:C1299,A89,Annonces!E2:E1299),0)</f>
        <v/>
      </c>
      <c r="D89" s="13">
        <f>IFERROR(AVERAGEIF(Annonces!C2:C1299,A89,Annonces!F2:F1299),0)</f>
        <v/>
      </c>
      <c r="E89" s="14">
        <f>IFERROR(AVERAGEIF(Annonces!C2:C1299,A89,Annonces!I2:I1299),0)</f>
        <v/>
      </c>
    </row>
    <row r="90">
      <c r="A90" t="inlineStr">
        <is>
          <t>Polo (Maarif)</t>
        </is>
      </c>
      <c r="B90">
        <f>COUNTIF(Annonces!C2:C1299,A90)</f>
        <v/>
      </c>
      <c r="C90" s="7">
        <f>IFERROR(AVERAGEIF(Annonces!C2:C1299,A90,Annonces!E2:E1299),0)</f>
        <v/>
      </c>
      <c r="D90" s="13">
        <f>IFERROR(AVERAGEIF(Annonces!C2:C1299,A90,Annonces!F2:F1299),0)</f>
        <v/>
      </c>
      <c r="E90" s="14">
        <f>IFERROR(AVERAGEIF(Annonces!C2:C1299,A90,Annonces!I2:I1299),0)</f>
        <v/>
      </c>
    </row>
    <row r="91">
      <c r="A91" t="inlineStr">
        <is>
          <t>Quartier Bd De Bordeaux</t>
        </is>
      </c>
      <c r="B91">
        <f>COUNTIF(Annonces!C2:C1299,A91)</f>
        <v/>
      </c>
      <c r="C91" s="7">
        <f>IFERROR(AVERAGEIF(Annonces!C2:C1299,A91,Annonces!E2:E1299),0)</f>
        <v/>
      </c>
      <c r="D91" s="13">
        <f>IFERROR(AVERAGEIF(Annonces!C2:C1299,A91,Annonces!F2:F1299),0)</f>
        <v/>
      </c>
      <c r="E91" s="14">
        <f>IFERROR(AVERAGEIF(Annonces!C2:C1299,A91,Annonces!I2:I1299),0)</f>
        <v/>
      </c>
    </row>
    <row r="92">
      <c r="A92" t="inlineStr">
        <is>
          <t>Quartier Bd Med V</t>
        </is>
      </c>
      <c r="B92">
        <f>COUNTIF(Annonces!C2:C1299,A92)</f>
        <v/>
      </c>
      <c r="C92" s="7">
        <f>IFERROR(AVERAGEIF(Annonces!C2:C1299,A92,Annonces!E2:E1299),0)</f>
        <v/>
      </c>
      <c r="D92" s="13">
        <f>IFERROR(AVERAGEIF(Annonces!C2:C1299,A92,Annonces!F2:F1299),0)</f>
        <v/>
      </c>
      <c r="E92" s="14">
        <f>IFERROR(AVERAGEIF(Annonces!C2:C1299,A92,Annonces!I2:I1299),0)</f>
        <v/>
      </c>
    </row>
    <row r="93">
      <c r="A93" t="inlineStr">
        <is>
          <t>Quartier De Parc Et Place</t>
        </is>
      </c>
      <c r="B93">
        <f>COUNTIF(Annonces!C2:C1299,A93)</f>
        <v/>
      </c>
      <c r="C93" s="7">
        <f>IFERROR(AVERAGEIF(Annonces!C2:C1299,A93,Annonces!E2:E1299),0)</f>
        <v/>
      </c>
      <c r="D93" s="13">
        <f>IFERROR(AVERAGEIF(Annonces!C2:C1299,A93,Annonces!F2:F1299),0)</f>
        <v/>
      </c>
      <c r="E93" s="14">
        <f>IFERROR(AVERAGEIF(Annonces!C2:C1299,A93,Annonces!I2:I1299),0)</f>
        <v/>
      </c>
    </row>
    <row r="94">
      <c r="A94" t="inlineStr">
        <is>
          <t>Quartier Tsf</t>
        </is>
      </c>
      <c r="B94">
        <f>COUNTIF(Annonces!C2:C1299,A94)</f>
        <v/>
      </c>
      <c r="C94" s="7">
        <f>IFERROR(AVERAGEIF(Annonces!C2:C1299,A94,Annonces!E2:E1299),0)</f>
        <v/>
      </c>
      <c r="D94" s="13">
        <f>IFERROR(AVERAGEIF(Annonces!C2:C1299,A94,Annonces!F2:F1299),0)</f>
        <v/>
      </c>
      <c r="E94" s="14">
        <f>IFERROR(AVERAGEIF(Annonces!C2:C1299,A94,Annonces!I2:I1299),0)</f>
        <v/>
      </c>
    </row>
    <row r="95">
      <c r="A95" t="inlineStr">
        <is>
          <t>Racine</t>
        </is>
      </c>
      <c r="B95">
        <f>COUNTIF(Annonces!C2:C1299,A95)</f>
        <v/>
      </c>
      <c r="C95" s="7">
        <f>IFERROR(AVERAGEIF(Annonces!C2:C1299,A95,Annonces!E2:E1299),0)</f>
        <v/>
      </c>
      <c r="D95" s="13">
        <f>IFERROR(AVERAGEIF(Annonces!C2:C1299,A95,Annonces!F2:F1299),0)</f>
        <v/>
      </c>
      <c r="E95" s="14">
        <f>IFERROR(AVERAGEIF(Annonces!C2:C1299,A95,Annonces!I2:I1299),0)</f>
        <v/>
      </c>
    </row>
    <row r="96">
      <c r="A96" t="inlineStr">
        <is>
          <t>Riad Bouskoura</t>
        </is>
      </c>
      <c r="B96">
        <f>COUNTIF(Annonces!C2:C1299,A96)</f>
        <v/>
      </c>
      <c r="C96" s="7">
        <f>IFERROR(AVERAGEIF(Annonces!C2:C1299,A96,Annonces!E2:E1299),0)</f>
        <v/>
      </c>
      <c r="D96" s="13">
        <f>IFERROR(AVERAGEIF(Annonces!C2:C1299,A96,Annonces!F2:F1299),0)</f>
        <v/>
      </c>
      <c r="E96" s="14">
        <f>IFERROR(AVERAGEIF(Annonces!C2:C1299,A96,Annonces!I2:I1299),0)</f>
        <v/>
      </c>
    </row>
    <row r="97">
      <c r="A97" t="inlineStr">
        <is>
          <t>Roches Noires</t>
        </is>
      </c>
      <c r="B97">
        <f>COUNTIF(Annonces!C2:C1299,A97)</f>
        <v/>
      </c>
      <c r="C97" s="7">
        <f>IFERROR(AVERAGEIF(Annonces!C2:C1299,A97,Annonces!E2:E1299),0)</f>
        <v/>
      </c>
      <c r="D97" s="13">
        <f>IFERROR(AVERAGEIF(Annonces!C2:C1299,A97,Annonces!F2:F1299),0)</f>
        <v/>
      </c>
      <c r="E97" s="14">
        <f>IFERROR(AVERAGEIF(Annonces!C2:C1299,A97,Annonces!I2:I1299),0)</f>
        <v/>
      </c>
    </row>
    <row r="98">
      <c r="A98" t="inlineStr">
        <is>
          <t>Sidi Abderrahman</t>
        </is>
      </c>
      <c r="B98">
        <f>COUNTIF(Annonces!C2:C1299,A98)</f>
        <v/>
      </c>
      <c r="C98" s="7">
        <f>IFERROR(AVERAGEIF(Annonces!C2:C1299,A98,Annonces!E2:E1299),0)</f>
        <v/>
      </c>
      <c r="D98" s="13">
        <f>IFERROR(AVERAGEIF(Annonces!C2:C1299,A98,Annonces!F2:F1299),0)</f>
        <v/>
      </c>
      <c r="E98" s="14">
        <f>IFERROR(AVERAGEIF(Annonces!C2:C1299,A98,Annonces!I2:I1299),0)</f>
        <v/>
      </c>
    </row>
    <row r="99">
      <c r="A99" t="inlineStr">
        <is>
          <t>Sidi Abderrahman Extension</t>
        </is>
      </c>
      <c r="B99">
        <f>COUNTIF(Annonces!C2:C1299,A99)</f>
        <v/>
      </c>
      <c r="C99" s="7">
        <f>IFERROR(AVERAGEIF(Annonces!C2:C1299,A99,Annonces!E2:E1299),0)</f>
        <v/>
      </c>
      <c r="D99" s="13">
        <f>IFERROR(AVERAGEIF(Annonces!C2:C1299,A99,Annonces!F2:F1299),0)</f>
        <v/>
      </c>
      <c r="E99" s="14">
        <f>IFERROR(AVERAGEIF(Annonces!C2:C1299,A99,Annonces!I2:I1299),0)</f>
        <v/>
      </c>
    </row>
    <row r="100">
      <c r="A100" t="inlineStr">
        <is>
          <t>Sidi Bernoussi</t>
        </is>
      </c>
      <c r="B100">
        <f>COUNTIF(Annonces!C2:C1299,A100)</f>
        <v/>
      </c>
      <c r="C100" s="7">
        <f>IFERROR(AVERAGEIF(Annonces!C2:C1299,A100,Annonces!E2:E1299),0)</f>
        <v/>
      </c>
      <c r="D100" s="13">
        <f>IFERROR(AVERAGEIF(Annonces!C2:C1299,A100,Annonces!F2:F1299),0)</f>
        <v/>
      </c>
      <c r="E100" s="14">
        <f>IFERROR(AVERAGEIF(Annonces!C2:C1299,A100,Annonces!I2:I1299),0)</f>
        <v/>
      </c>
    </row>
    <row r="101">
      <c r="A101" t="inlineStr">
        <is>
          <t>Sidi El Khadir</t>
        </is>
      </c>
      <c r="B101">
        <f>COUNTIF(Annonces!C2:C1299,A101)</f>
        <v/>
      </c>
      <c r="C101" s="7">
        <f>IFERROR(AVERAGEIF(Annonces!C2:C1299,A101,Annonces!E2:E1299),0)</f>
        <v/>
      </c>
      <c r="D101" s="13">
        <f>IFERROR(AVERAGEIF(Annonces!C2:C1299,A101,Annonces!F2:F1299),0)</f>
        <v/>
      </c>
      <c r="E101" s="14">
        <f>IFERROR(AVERAGEIF(Annonces!C2:C1299,A101,Annonces!I2:I1299),0)</f>
        <v/>
      </c>
    </row>
    <row r="102">
      <c r="A102" t="inlineStr">
        <is>
          <t>Sidi Maarouf</t>
        </is>
      </c>
      <c r="B102">
        <f>COUNTIF(Annonces!C2:C1299,A102)</f>
        <v/>
      </c>
      <c r="C102" s="7">
        <f>IFERROR(AVERAGEIF(Annonces!C2:C1299,A102,Annonces!E2:E1299),0)</f>
        <v/>
      </c>
      <c r="D102" s="13">
        <f>IFERROR(AVERAGEIF(Annonces!C2:C1299,A102,Annonces!F2:F1299),0)</f>
        <v/>
      </c>
      <c r="E102" s="14">
        <f>IFERROR(AVERAGEIF(Annonces!C2:C1299,A102,Annonces!I2:I1299),0)</f>
        <v/>
      </c>
    </row>
    <row r="103">
      <c r="A103" t="inlineStr">
        <is>
          <t>Sidi Messaoud</t>
        </is>
      </c>
      <c r="B103">
        <f>COUNTIF(Annonces!C2:C1299,A103)</f>
        <v/>
      </c>
      <c r="C103" s="7">
        <f>IFERROR(AVERAGEIF(Annonces!C2:C1299,A103,Annonces!E2:E1299),0)</f>
        <v/>
      </c>
      <c r="D103" s="13">
        <f>IFERROR(AVERAGEIF(Annonces!C2:C1299,A103,Annonces!F2:F1299),0)</f>
        <v/>
      </c>
      <c r="E103" s="14">
        <f>IFERROR(AVERAGEIF(Annonces!C2:C1299,A103,Annonces!I2:I1299),0)</f>
        <v/>
      </c>
    </row>
    <row r="104">
      <c r="A104" t="inlineStr">
        <is>
          <t>Sidi Moumen</t>
        </is>
      </c>
      <c r="B104">
        <f>COUNTIF(Annonces!C2:C1299,A104)</f>
        <v/>
      </c>
      <c r="C104" s="7">
        <f>IFERROR(AVERAGEIF(Annonces!C2:C1299,A104,Annonces!E2:E1299),0)</f>
        <v/>
      </c>
      <c r="D104" s="13">
        <f>IFERROR(AVERAGEIF(Annonces!C2:C1299,A104,Annonces!F2:F1299),0)</f>
        <v/>
      </c>
      <c r="E104" s="14">
        <f>IFERROR(AVERAGEIF(Annonces!C2:C1299,A104,Annonces!I2:I1299),0)</f>
        <v/>
      </c>
    </row>
    <row r="105">
      <c r="A105" t="inlineStr">
        <is>
          <t>Sidi Othmane</t>
        </is>
      </c>
      <c r="B105">
        <f>COUNTIF(Annonces!C2:C1299,A105)</f>
        <v/>
      </c>
      <c r="C105" s="7">
        <f>IFERROR(AVERAGEIF(Annonces!C2:C1299,A105,Annonces!E2:E1299),0)</f>
        <v/>
      </c>
      <c r="D105" s="13">
        <f>IFERROR(AVERAGEIF(Annonces!C2:C1299,A105,Annonces!F2:F1299),0)</f>
        <v/>
      </c>
      <c r="E105" s="14">
        <f>IFERROR(AVERAGEIF(Annonces!C2:C1299,A105,Annonces!I2:I1299),0)</f>
        <v/>
      </c>
    </row>
    <row r="106">
      <c r="A106" t="inlineStr">
        <is>
          <t>Sindibad</t>
        </is>
      </c>
      <c r="B106">
        <f>COUNTIF(Annonces!C2:C1299,A106)</f>
        <v/>
      </c>
      <c r="C106" s="7">
        <f>IFERROR(AVERAGEIF(Annonces!C2:C1299,A106,Annonces!E2:E1299),0)</f>
        <v/>
      </c>
      <c r="D106" s="13">
        <f>IFERROR(AVERAGEIF(Annonces!C2:C1299,A106,Annonces!F2:F1299),0)</f>
        <v/>
      </c>
      <c r="E106" s="14">
        <f>IFERROR(AVERAGEIF(Annonces!C2:C1299,A106,Annonces!I2:I1299),0)</f>
        <v/>
      </c>
    </row>
    <row r="107">
      <c r="A107" t="inlineStr">
        <is>
          <t>Tamaris1</t>
        </is>
      </c>
      <c r="B107">
        <f>COUNTIF(Annonces!C2:C1299,A107)</f>
        <v/>
      </c>
      <c r="C107" s="7">
        <f>IFERROR(AVERAGEIF(Annonces!C2:C1299,A107,Annonces!E2:E1299),0)</f>
        <v/>
      </c>
      <c r="D107" s="13">
        <f>IFERROR(AVERAGEIF(Annonces!C2:C1299,A107,Annonces!F2:F1299),0)</f>
        <v/>
      </c>
      <c r="E107" s="14">
        <f>IFERROR(AVERAGEIF(Annonces!C2:C1299,A107,Annonces!I2:I1299),0)</f>
        <v/>
      </c>
    </row>
    <row r="108">
      <c r="A108" t="inlineStr">
        <is>
          <t>Tamaris2</t>
        </is>
      </c>
      <c r="B108">
        <f>COUNTIF(Annonces!C2:C1299,A108)</f>
        <v/>
      </c>
      <c r="C108" s="7">
        <f>IFERROR(AVERAGEIF(Annonces!C2:C1299,A108,Annonces!E2:E1299),0)</f>
        <v/>
      </c>
      <c r="D108" s="13">
        <f>IFERROR(AVERAGEIF(Annonces!C2:C1299,A108,Annonces!F2:F1299),0)</f>
        <v/>
      </c>
      <c r="E108" s="14">
        <f>IFERROR(AVERAGEIF(Annonces!C2:C1299,A108,Annonces!I2:I1299),0)</f>
        <v/>
      </c>
    </row>
    <row r="109">
      <c r="A109" t="inlineStr">
        <is>
          <t>Triangle D'Or</t>
        </is>
      </c>
      <c r="B109">
        <f>COUNTIF(Annonces!C2:C1299,A109)</f>
        <v/>
      </c>
      <c r="C109" s="7">
        <f>IFERROR(AVERAGEIF(Annonces!C2:C1299,A109,Annonces!E2:E1299),0)</f>
        <v/>
      </c>
      <c r="D109" s="13">
        <f>IFERROR(AVERAGEIF(Annonces!C2:C1299,A109,Annonces!F2:F1299),0)</f>
        <v/>
      </c>
      <c r="E109" s="14">
        <f>IFERROR(AVERAGEIF(Annonces!C2:C1299,A109,Annonces!I2:I1299),0)</f>
        <v/>
      </c>
    </row>
    <row r="110">
      <c r="A110" t="inlineStr">
        <is>
          <t>Val Fleuri</t>
        </is>
      </c>
      <c r="B110">
        <f>COUNTIF(Annonces!C2:C1299,A110)</f>
        <v/>
      </c>
      <c r="C110" s="7">
        <f>IFERROR(AVERAGEIF(Annonces!C2:C1299,A110,Annonces!E2:E1299),0)</f>
        <v/>
      </c>
      <c r="D110" s="13">
        <f>IFERROR(AVERAGEIF(Annonces!C2:C1299,A110,Annonces!F2:F1299),0)</f>
        <v/>
      </c>
      <c r="E110" s="14">
        <f>IFERROR(AVERAGEIF(Annonces!C2:C1299,A110,Annonces!I2:I1299),0)</f>
        <v/>
      </c>
    </row>
    <row r="111">
      <c r="A111" t="inlineStr">
        <is>
          <t>Victoria</t>
        </is>
      </c>
      <c r="B111">
        <f>COUNTIF(Annonces!C2:C1299,A111)</f>
        <v/>
      </c>
      <c r="C111" s="7">
        <f>IFERROR(AVERAGEIF(Annonces!C2:C1299,A111,Annonces!E2:E1299),0)</f>
        <v/>
      </c>
      <c r="D111" s="13">
        <f>IFERROR(AVERAGEIF(Annonces!C2:C1299,A111,Annonces!F2:F1299),0)</f>
        <v/>
      </c>
      <c r="E111" s="14">
        <f>IFERROR(AVERAGEIF(Annonces!C2:C1299,A111,Annonces!I2:I1299),0)</f>
        <v/>
      </c>
    </row>
    <row r="112">
      <c r="A112" t="inlineStr">
        <is>
          <t>Ville Verte</t>
        </is>
      </c>
      <c r="B112">
        <f>COUNTIF(Annonces!C2:C1299,A112)</f>
        <v/>
      </c>
      <c r="C112" s="7">
        <f>IFERROR(AVERAGEIF(Annonces!C2:C1299,A112,Annonces!E2:E1299),0)</f>
        <v/>
      </c>
      <c r="D112" s="13">
        <f>IFERROR(AVERAGEIF(Annonces!C2:C1299,A112,Annonces!F2:F1299),0)</f>
        <v/>
      </c>
      <c r="E112" s="14">
        <f>IFERROR(AVERAGEIF(Annonces!C2:C1299,A112,Annonces!I2:I1299),0)</f>
        <v/>
      </c>
    </row>
    <row r="113">
      <c r="A113" t="inlineStr">
        <is>
          <t>Zone Industrielle Ain Sebaa</t>
        </is>
      </c>
      <c r="B113">
        <f>COUNTIF(Annonces!C2:C1299,A113)</f>
        <v/>
      </c>
      <c r="C113" s="7">
        <f>IFERROR(AVERAGEIF(Annonces!C2:C1299,A113,Annonces!E2:E1299),0)</f>
        <v/>
      </c>
      <c r="D113" s="13">
        <f>IFERROR(AVERAGEIF(Annonces!C2:C1299,A113,Annonces!F2:F1299),0)</f>
        <v/>
      </c>
      <c r="E113" s="14">
        <f>IFERROR(AVERAGEIF(Annonces!C2:C1299,A113,Annonces!I2:I1299),0)</f>
        <v/>
      </c>
    </row>
  </sheetData>
  <autoFilter ref="A1:E1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2026-05-16T11:48:10Z</dcterms:created>
  <dcterms:modified xmlns:dcterms="http://purl.org/dc/terms/" xmlns:xsi="http://www.w3.org/2001/XMLSchema-instance" xsi:type="dcterms:W3CDTF">2026-05-16T11:48:11Z</dcterms:modified>
</cp:coreProperties>
</file>